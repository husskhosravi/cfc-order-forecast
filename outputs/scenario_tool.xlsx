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Summary" sheetId="2" state="visible" r:id="rId4"/>
    <sheet name="Inputs" sheetId="3" state="visible" r:id="rId5"/>
    <sheet name="Dail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Sum of daily scenario orders on the Daily sheet.</t>
        </r>
      </text>
    </comment>
  </commentList>
</comments>
</file>

<file path=xl/sharedStrings.xml><?xml version="1.0" encoding="utf-8"?>
<sst xmlns="http://schemas.openxmlformats.org/spreadsheetml/2006/main" count="85" uniqueCount="63">
  <si>
    <t xml:space="preserve">FY25 CFC order scenario tool</t>
  </si>
  <si>
    <t xml:space="preserve">How to use</t>
  </si>
  <si>
    <t xml:space="preserve">1. Change the yellow cells on the Inputs sheet (blue text = editable inputs).</t>
  </si>
  <si>
    <t xml:space="preserve">2. The Daily sheet recalculates every scenario for each day of FY25.</t>
  </si>
  <si>
    <t xml:space="preserve">3. The Summary sheet shows annual and monthly results and the change versus the base case.</t>
  </si>
  <si>
    <t xml:space="preserve">Scenario formula (per day)</t>
  </si>
  <si>
    <t xml:space="preserve">Orders = Baseline x (1 + market shift if date &gt;= shift start) x (1 + promo uplift x promo flag)</t>
  </si>
  <si>
    <t xml:space="preserve">Promo flag = 1 on calendar promotion days, or on extra monthly promotion days when that scenario includes them.</t>
  </si>
  <si>
    <t xml:space="preserve">Sources</t>
  </si>
  <si>
    <t xml:space="preserve">Baseline and prediction error come from src/forecast.py (outputs/forecast_daily.csv).</t>
  </si>
  <si>
    <t xml:space="preserve">Promotion dates and uplift percentages are planning assumptions: FY24 data shows no measurable promotional uplift.</t>
  </si>
  <si>
    <t xml:space="preserve">Metric</t>
  </si>
  <si>
    <t xml:space="preserve">Base case</t>
  </si>
  <si>
    <t xml:space="preserve">Scenario 1: Increased promotions</t>
  </si>
  <si>
    <t xml:space="preserve">Scenario 2: Market downturn</t>
  </si>
  <si>
    <t xml:space="preserve">Total FY25 orders</t>
  </si>
  <si>
    <t xml:space="preserve">Change vs base case (orders)</t>
  </si>
  <si>
    <t xml:space="preserve">Change vs base case (%)</t>
  </si>
  <si>
    <t xml:space="preserve">Average orders per day</t>
  </si>
  <si>
    <t xml:space="preserve">Peak day (expected)</t>
  </si>
  <si>
    <t xml:space="preserve">Peak day (80% upper bound)</t>
  </si>
  <si>
    <t xml:space="preserve">Days where 80% upper bound exceeds planning capacity</t>
  </si>
  <si>
    <t xml:space="preserve">Monthly orders</t>
  </si>
  <si>
    <t xml:space="preserve">Month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</si>
  <si>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</si>
  <si>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</si>
  <si>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</si>
  <si>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</si>
  <si>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</si>
  <si>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</si>
  <si>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</si>
  <si>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</si>
  <si>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</si>
  <si>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</si>
  <si>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</si>
  <si>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</si>
  <si>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Parameter</t>
  </si>
  <si>
    <t xml:space="preserve">Notes</t>
  </si>
  <si>
    <t xml:space="preserve">Promotional uplift (%)</t>
  </si>
  <si>
    <t xml:space="preserve">Applied to promotion days. Assumption: no uplift is visible in FY24 data.</t>
  </si>
  <si>
    <t xml:space="preserve">Include extra monthly promotions (1 = yes, 0 = no)</t>
  </si>
  <si>
    <t xml:space="preserve">Adds the first Friday and Saturday of each month as promotion days.</t>
  </si>
  <si>
    <t xml:space="preserve">Market shift in underlying demand (%)</t>
  </si>
  <si>
    <t xml:space="preserve">Applied to the baseline from the shift start date onwards.</t>
  </si>
  <si>
    <t xml:space="preserve">Market shift start date</t>
  </si>
  <si>
    <t xml:space="preserve">Model constants (from src/forecast.py)</t>
  </si>
  <si>
    <t xml:space="preserve">Baseline orders per day</t>
  </si>
  <si>
    <t xml:space="preserve">Holt-Winters level for FY25.</t>
  </si>
  <si>
    <t xml:space="preserve">Daily prediction error (orders, out-of-sample RMSE)</t>
  </si>
  <si>
    <t xml:space="preserve">Rolling-origin backtest, 6 x 30 days.</t>
  </si>
  <si>
    <t xml:space="preserve">z-value for 80% interval</t>
  </si>
  <si>
    <t xml:space="preserve">Planning capacity (orders per day)</t>
  </si>
  <si>
    <t xml:space="preserve">Illustrative. Replace with actual CFC capacity.</t>
  </si>
  <si>
    <t xml:space="preserve">Date</t>
  </si>
  <si>
    <t xml:space="preserve">Baseline</t>
  </si>
  <si>
    <t xml:space="preserve">Promotion</t>
  </si>
  <si>
    <t xml:space="preserve">Calendar promo (1/0)</t>
  </si>
  <si>
    <t xml:space="preserve">Extra monthly promo candidate (1/0)</t>
  </si>
  <si>
    <t xml:space="preserve">Competitor mega sale (July)</t>
  </si>
  <si>
    <t xml:space="preserve">Competitor mega sale (November)</t>
  </si>
  <si>
    <t xml:space="preserve">Black Friday to Cyber Monday</t>
  </si>
  <si>
    <t xml:space="preserve">Competitor mega sale (Boxing Day)</t>
  </si>
  <si>
    <t xml:space="preserve">End of financial year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</si>
</sst>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;\(#,##0\);\-"/>
    <numFmt numFmtId="167" formatCode="0.0%;\(0.0%\);\-"/>
    <numFmt numFmtId="168" formatCode="#,##0.0"/>
    <numFmt numFmtId="169" formatCode="0.0%"/>
    <numFmt numFmtId="170" formatCode="0"/>
    <numFmt numFmtId="171" formatCode="dd\-mmm\-yyyy"/>
    <numFmt numFmtId="172" formatCode="0.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8A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D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26"/>
  </cols>
  <sheetData>
    <row r="1" customFormat="false" ht="26.8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</row>
    <row r="2" customFormat="false" ht="15" hidden="false" customHeight="false" outlineLevel="0" collapsed="false">
      <c r="A2" s="2" t="s">
        <v>15</v>
      </c>
      <c r="B2" s="4" t="n">
        <f aca="false">SUM(Daily!G2:G366)</f>
        <v>148586.2</v>
      </c>
      <c r="C2" s="4" t="n">
        <f aca="false">SUM(Daily!H2:H366)</f>
        <v>155125.2</v>
      </c>
      <c r="D2" s="4" t="n">
        <f aca="false">SUM(Daily!I2:I366)</f>
        <v>141232.34</v>
      </c>
    </row>
    <row r="3" customFormat="false" ht="15" hidden="false" customHeight="false" outlineLevel="0" collapsed="false">
      <c r="A3" s="2" t="s">
        <v>16</v>
      </c>
      <c r="B3" s="5" t="n">
        <f aca="false">B2-$B$2</f>
        <v>0</v>
      </c>
      <c r="C3" s="5" t="n">
        <f aca="false">C2-$B$2</f>
        <v>6539</v>
      </c>
      <c r="D3" s="5" t="n">
        <f aca="false">D2-$B$2</f>
        <v>-7353.85999999999</v>
      </c>
    </row>
    <row r="4" customFormat="false" ht="15" hidden="false" customHeight="false" outlineLevel="0" collapsed="false">
      <c r="A4" s="2" t="s">
        <v>17</v>
      </c>
      <c r="B4" s="6" t="n">
        <f aca="false">B2/$B$2-1</f>
        <v>0</v>
      </c>
      <c r="C4" s="6" t="n">
        <f aca="false">C2/$B$2-1</f>
        <v>0.0440081245768449</v>
      </c>
      <c r="D4" s="6" t="n">
        <f aca="false">D2/$B$2-1</f>
        <v>-0.0494922139471902</v>
      </c>
    </row>
    <row r="5" customFormat="false" ht="15" hidden="false" customHeight="false" outlineLevel="0" collapsed="false">
      <c r="A5" s="2" t="s">
        <v>18</v>
      </c>
      <c r="B5" s="7" t="n">
        <f aca="false">AVERAGE(Daily!G2:G366)</f>
        <v>407.085479452055</v>
      </c>
      <c r="C5" s="7" t="n">
        <f aca="false">AVERAGE(Daily!H2:H366)</f>
        <v>425.000547945205</v>
      </c>
      <c r="D5" s="7" t="n">
        <f aca="false">AVERAGE(Daily!I2:I366)</f>
        <v>386.937917808219</v>
      </c>
    </row>
    <row r="6" customFormat="false" ht="15" hidden="false" customHeight="false" outlineLevel="0" collapsed="false">
      <c r="A6" s="2" t="s">
        <v>19</v>
      </c>
      <c r="B6" s="4" t="n">
        <f aca="false">MAX(Daily!G2:G366)</f>
        <v>503</v>
      </c>
      <c r="C6" s="4" t="n">
        <f aca="false">MAX(Daily!H2:H366)</f>
        <v>603.6</v>
      </c>
      <c r="D6" s="4" t="n">
        <f aca="false">MAX(Daily!I2:I366)</f>
        <v>503</v>
      </c>
    </row>
    <row r="7" customFormat="false" ht="15" hidden="false" customHeight="false" outlineLevel="0" collapsed="false">
      <c r="A7" s="2" t="s">
        <v>20</v>
      </c>
      <c r="B7" s="4" t="n">
        <f aca="false">B6*(1+Inputs!$B$10*Inputs!$B$9/Inputs!$B$8)</f>
        <v>592.712</v>
      </c>
      <c r="C7" s="4" t="n">
        <f aca="false">C6*(1+Inputs!$B$10*Inputs!$B$9/Inputs!$B$8)</f>
        <v>711.2544</v>
      </c>
      <c r="D7" s="4" t="n">
        <f aca="false">D6*(1+Inputs!$B$10*Inputs!$B$9/Inputs!$B$8)</f>
        <v>592.712</v>
      </c>
    </row>
    <row r="8" customFormat="false" ht="15" hidden="false" customHeight="false" outlineLevel="0" collapsed="false">
      <c r="A8" s="2" t="s">
        <v>21</v>
      </c>
      <c r="B8" s="4" t="n">
        <f aca="false">COUNTIF(Daily!G2:G366,"&gt;"&amp;(Inputs!$B$11/(1+Inputs!$B$10*Inputs!$B$9/Inputs!$B$8)))</f>
        <v>17</v>
      </c>
      <c r="C8" s="4" t="n">
        <f aca="false">COUNTIF(Daily!H2:H366,"&gt;"&amp;(Inputs!$B$11/(1+Inputs!$B$10*Inputs!$B$9/Inputs!$B$8)))</f>
        <v>41</v>
      </c>
      <c r="D8" s="4" t="n">
        <f aca="false">COUNTIF(Daily!I2:I366,"&gt;"&amp;(Inputs!$B$11/(1+Inputs!$B$10*Inputs!$B$9/Inputs!$B$8)))</f>
        <v>10</v>
      </c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1" t="s">
        <v>22</v>
      </c>
      <c r="B10" s="8"/>
      <c r="C10" s="8"/>
      <c r="D10" s="8"/>
    </row>
    <row r="11" customFormat="false" ht="26.85" hidden="false" customHeight="false" outlineLevel="0" collapsed="false">
      <c r="A11" s="3" t="s">
        <v>23</v>
      </c>
      <c r="B11" s="3" t="s">
        <v>12</v>
      </c>
      <c r="C11" s="3" t="s">
        <v>13</v>
      </c>
      <c r="D11" s="3" t="s">
        <v>14</v>
      </c>
    </row>
    <row r="12" customFormat="false" ht="15" hidden="false" customHeight="false" outlineLevel="0" collapsed="false">
      <c r="A12" s="8" t="s">
        <v>24</v>
      </c>
      <c r="B12" s="9" t="n">
        <f aca="false">SUMIFS(Daily!G$2:G$366,Daily!$B$2:$B$366,$A12)</f>
        <v>12675.6</v>
      </c>
      <c r="C12" s="9" t="n">
        <f aca="false">SUMIFS(Daily!H$2:H$366,Daily!$B$2:$B$366,$A12)</f>
        <v>13279.2</v>
      </c>
      <c r="D12" s="9" t="n">
        <f aca="false">SUMIFS(Daily!I$2:I$366,Daily!$B$2:$B$366,$A12)</f>
        <v>12675.6</v>
      </c>
    </row>
    <row r="13" customFormat="false" ht="15" hidden="false" customHeight="false" outlineLevel="0" collapsed="false">
      <c r="A13" s="8" t="s">
        <v>25</v>
      </c>
      <c r="B13" s="9" t="n">
        <f aca="false">SUMIFS(Daily!G$2:G$366,Daily!$B$2:$B$366,$A13)</f>
        <v>12474.4</v>
      </c>
      <c r="C13" s="9" t="n">
        <f aca="false">SUMIFS(Daily!H$2:H$366,Daily!$B$2:$B$366,$A13)</f>
        <v>12876.8</v>
      </c>
      <c r="D13" s="9" t="n">
        <f aca="false">SUMIFS(Daily!I$2:I$366,Daily!$B$2:$B$366,$A13)</f>
        <v>12474.4</v>
      </c>
    </row>
    <row r="14" customFormat="false" ht="15" hidden="false" customHeight="false" outlineLevel="0" collapsed="false">
      <c r="A14" s="8" t="s">
        <v>26</v>
      </c>
      <c r="B14" s="9" t="n">
        <f aca="false">SUMIFS(Daily!G$2:G$366,Daily!$B$2:$B$366,$A14)</f>
        <v>12072</v>
      </c>
      <c r="C14" s="9" t="n">
        <f aca="false">SUMIFS(Daily!H$2:H$366,Daily!$B$2:$B$366,$A14)</f>
        <v>12474.4</v>
      </c>
      <c r="D14" s="9" t="n">
        <f aca="false">SUMIFS(Daily!I$2:I$366,Daily!$B$2:$B$366,$A14)</f>
        <v>12072</v>
      </c>
    </row>
    <row r="15" customFormat="false" ht="15" hidden="false" customHeight="false" outlineLevel="0" collapsed="false">
      <c r="A15" s="8" t="s">
        <v>27</v>
      </c>
      <c r="B15" s="9" t="n">
        <f aca="false">SUMIFS(Daily!G$2:G$366,Daily!$B$2:$B$366,$A15)</f>
        <v>12474.4</v>
      </c>
      <c r="C15" s="9" t="n">
        <f aca="false">SUMIFS(Daily!H$2:H$366,Daily!$B$2:$B$366,$A15)</f>
        <v>12876.8</v>
      </c>
      <c r="D15" s="9" t="n">
        <f aca="false">SUMIFS(Daily!I$2:I$366,Daily!$B$2:$B$366,$A15)</f>
        <v>12474.4</v>
      </c>
    </row>
    <row r="16" customFormat="false" ht="15" hidden="false" customHeight="false" outlineLevel="0" collapsed="false">
      <c r="A16" s="8" t="s">
        <v>28</v>
      </c>
      <c r="B16" s="9" t="n">
        <f aca="false">SUMIFS(Daily!G$2:G$366,Daily!$B$2:$B$366,$A16)</f>
        <v>12474.4</v>
      </c>
      <c r="C16" s="9" t="n">
        <f aca="false">SUMIFS(Daily!H$2:H$366,Daily!$B$2:$B$366,$A16)</f>
        <v>13279.2</v>
      </c>
      <c r="D16" s="9" t="n">
        <f aca="false">SUMIFS(Daily!I$2:I$366,Daily!$B$2:$B$366,$A16)</f>
        <v>12474.4</v>
      </c>
    </row>
    <row r="17" customFormat="false" ht="15" hidden="false" customHeight="false" outlineLevel="0" collapsed="false">
      <c r="A17" s="8" t="s">
        <v>29</v>
      </c>
      <c r="B17" s="9" t="n">
        <f aca="false">SUMIFS(Daily!G$2:G$366,Daily!$B$2:$B$366,$A17)</f>
        <v>12876.8</v>
      </c>
      <c r="C17" s="9" t="n">
        <f aca="false">SUMIFS(Daily!H$2:H$366,Daily!$B$2:$B$366,$A17)</f>
        <v>13681.6</v>
      </c>
      <c r="D17" s="9" t="n">
        <f aca="false">SUMIFS(Daily!I$2:I$366,Daily!$B$2:$B$366,$A17)</f>
        <v>12876.8</v>
      </c>
    </row>
    <row r="18" customFormat="false" ht="15" hidden="false" customHeight="false" outlineLevel="0" collapsed="false">
      <c r="A18" s="8" t="s">
        <v>30</v>
      </c>
      <c r="B18" s="9" t="n">
        <f aca="false">SUMIFS(Daily!G$2:G$366,Daily!$B$2:$B$366,$A18)</f>
        <v>12474.4</v>
      </c>
      <c r="C18" s="9" t="n">
        <f aca="false">SUMIFS(Daily!H$2:H$366,Daily!$B$2:$B$366,$A18)</f>
        <v>12876.8</v>
      </c>
      <c r="D18" s="9" t="n">
        <f aca="false">SUMIFS(Daily!I$2:I$366,Daily!$B$2:$B$366,$A18)</f>
        <v>11226.96</v>
      </c>
    </row>
    <row r="19" customFormat="false" ht="15" hidden="false" customHeight="false" outlineLevel="0" collapsed="false">
      <c r="A19" s="8" t="s">
        <v>31</v>
      </c>
      <c r="B19" s="9" t="n">
        <f aca="false">SUMIFS(Daily!G$2:G$366,Daily!$B$2:$B$366,$A19)</f>
        <v>11267.2</v>
      </c>
      <c r="C19" s="9" t="n">
        <f aca="false">SUMIFS(Daily!H$2:H$366,Daily!$B$2:$B$366,$A19)</f>
        <v>11669.6</v>
      </c>
      <c r="D19" s="9" t="n">
        <f aca="false">SUMIFS(Daily!I$2:I$366,Daily!$B$2:$B$366,$A19)</f>
        <v>10140.48</v>
      </c>
    </row>
    <row r="20" customFormat="false" ht="15" hidden="false" customHeight="false" outlineLevel="0" collapsed="false">
      <c r="A20" s="8" t="s">
        <v>32</v>
      </c>
      <c r="B20" s="9" t="n">
        <f aca="false">SUMIFS(Daily!G$2:G$366,Daily!$B$2:$B$366,$A20)</f>
        <v>12474.4</v>
      </c>
      <c r="C20" s="9" t="n">
        <f aca="false">SUMIFS(Daily!H$2:H$366,Daily!$B$2:$B$366,$A20)</f>
        <v>12876.8</v>
      </c>
      <c r="D20" s="9" t="n">
        <f aca="false">SUMIFS(Daily!I$2:I$366,Daily!$B$2:$B$366,$A20)</f>
        <v>11226.96</v>
      </c>
    </row>
    <row r="21" customFormat="false" ht="15" hidden="false" customHeight="false" outlineLevel="0" collapsed="false">
      <c r="A21" s="8" t="s">
        <v>33</v>
      </c>
      <c r="B21" s="9" t="n">
        <f aca="false">SUMIFS(Daily!G$2:G$366,Daily!$B$2:$B$366,$A21)</f>
        <v>12072</v>
      </c>
      <c r="C21" s="9" t="n">
        <f aca="false">SUMIFS(Daily!H$2:H$366,Daily!$B$2:$B$366,$A21)</f>
        <v>12474.4</v>
      </c>
      <c r="D21" s="9" t="n">
        <f aca="false">SUMIFS(Daily!I$2:I$366,Daily!$B$2:$B$366,$A21)</f>
        <v>10864.8</v>
      </c>
    </row>
    <row r="22" customFormat="false" ht="15" hidden="false" customHeight="false" outlineLevel="0" collapsed="false">
      <c r="A22" s="8" t="s">
        <v>34</v>
      </c>
      <c r="B22" s="9" t="n">
        <f aca="false">SUMIFS(Daily!G$2:G$366,Daily!$B$2:$B$366,$A22)</f>
        <v>12474.4</v>
      </c>
      <c r="C22" s="9" t="n">
        <f aca="false">SUMIFS(Daily!H$2:H$366,Daily!$B$2:$B$366,$A22)</f>
        <v>12876.8</v>
      </c>
      <c r="D22" s="9" t="n">
        <f aca="false">SUMIFS(Daily!I$2:I$366,Daily!$B$2:$B$366,$A22)</f>
        <v>11226.96</v>
      </c>
    </row>
    <row r="23" customFormat="false" ht="15" hidden="false" customHeight="false" outlineLevel="0" collapsed="false">
      <c r="A23" s="8" t="s">
        <v>35</v>
      </c>
      <c r="B23" s="9" t="n">
        <f aca="false">SUMIFS(Daily!G$2:G$366,Daily!$B$2:$B$366,$A23)</f>
        <v>12776.2</v>
      </c>
      <c r="C23" s="9" t="n">
        <f aca="false">SUMIFS(Daily!H$2:H$366,Daily!$B$2:$B$366,$A23)</f>
        <v>13882.8</v>
      </c>
      <c r="D23" s="9" t="n">
        <f aca="false">SUMIFS(Daily!I$2:I$366,Daily!$B$2:$B$366,$A23)</f>
        <v>11498.58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22"/>
    <col collapsed="false" customWidth="true" hidden="false" outlineLevel="0" max="5" min="5" style="0" width="70"/>
  </cols>
  <sheetData>
    <row r="1" customFormat="false" ht="39.55" hidden="false" customHeight="false" outlineLevel="0" collapsed="false">
      <c r="A1" s="3" t="s">
        <v>36</v>
      </c>
      <c r="B1" s="3" t="s">
        <v>12</v>
      </c>
      <c r="C1" s="3" t="s">
        <v>13</v>
      </c>
      <c r="D1" s="3" t="s">
        <v>14</v>
      </c>
      <c r="E1" s="3" t="s">
        <v>37</v>
      </c>
    </row>
    <row r="2" customFormat="false" ht="15" hidden="false" customHeight="false" outlineLevel="0" collapsed="false">
      <c r="A2" s="2" t="s">
        <v>38</v>
      </c>
      <c r="B2" s="10" t="n">
        <v>0.25</v>
      </c>
      <c r="C2" s="10" t="n">
        <v>0.5</v>
      </c>
      <c r="D2" s="10" t="n">
        <v>0.25</v>
      </c>
      <c r="E2" s="2" t="s">
        <v>39</v>
      </c>
    </row>
    <row r="3" customFormat="false" ht="15" hidden="false" customHeight="false" outlineLevel="0" collapsed="false">
      <c r="A3" s="2" t="s">
        <v>40</v>
      </c>
      <c r="B3" s="11" t="n">
        <v>0</v>
      </c>
      <c r="C3" s="11" t="n">
        <v>1</v>
      </c>
      <c r="D3" s="11" t="n">
        <v>0</v>
      </c>
      <c r="E3" s="2" t="s">
        <v>41</v>
      </c>
    </row>
    <row r="4" customFormat="false" ht="15" hidden="false" customHeight="false" outlineLevel="0" collapsed="false">
      <c r="A4" s="2" t="s">
        <v>42</v>
      </c>
      <c r="B4" s="10" t="n">
        <v>0</v>
      </c>
      <c r="C4" s="10" t="n">
        <v>0</v>
      </c>
      <c r="D4" s="10" t="n">
        <v>-0.1</v>
      </c>
      <c r="E4" s="2" t="s">
        <v>43</v>
      </c>
    </row>
    <row r="5" customFormat="false" ht="15" hidden="false" customHeight="false" outlineLevel="0" collapsed="false">
      <c r="A5" s="2" t="s">
        <v>44</v>
      </c>
      <c r="B5" s="12" t="n">
        <v>45658</v>
      </c>
      <c r="C5" s="12" t="n">
        <v>45658</v>
      </c>
      <c r="D5" s="12" t="n">
        <v>45658</v>
      </c>
      <c r="E5" s="2"/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1" t="s">
        <v>45</v>
      </c>
      <c r="B7" s="8"/>
      <c r="C7" s="8"/>
      <c r="D7" s="8"/>
      <c r="E7" s="8"/>
    </row>
    <row r="8" customFormat="false" ht="15" hidden="false" customHeight="false" outlineLevel="0" collapsed="false">
      <c r="A8" s="2" t="s">
        <v>46</v>
      </c>
      <c r="B8" s="13" t="n">
        <v>402.4</v>
      </c>
      <c r="C8" s="8"/>
      <c r="D8" s="8"/>
      <c r="E8" s="2" t="s">
        <v>47</v>
      </c>
    </row>
    <row r="9" customFormat="false" ht="15" hidden="false" customHeight="false" outlineLevel="0" collapsed="false">
      <c r="A9" s="2" t="s">
        <v>48</v>
      </c>
      <c r="B9" s="13" t="n">
        <v>56</v>
      </c>
      <c r="C9" s="8"/>
      <c r="D9" s="8"/>
      <c r="E9" s="2" t="s">
        <v>49</v>
      </c>
    </row>
    <row r="10" customFormat="false" ht="15" hidden="false" customHeight="false" outlineLevel="0" collapsed="false">
      <c r="A10" s="2" t="s">
        <v>50</v>
      </c>
      <c r="B10" s="14" t="n">
        <v>1.2816</v>
      </c>
      <c r="C10" s="8"/>
      <c r="D10" s="8"/>
      <c r="E10" s="2"/>
    </row>
    <row r="11" customFormat="false" ht="15" hidden="false" customHeight="false" outlineLevel="0" collapsed="false">
      <c r="A11" s="2" t="s">
        <v>51</v>
      </c>
      <c r="B11" s="15" t="n">
        <v>550</v>
      </c>
      <c r="C11" s="8"/>
      <c r="D11" s="8"/>
      <c r="E11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34"/>
    <col collapsed="false" customWidth="true" hidden="false" outlineLevel="0" max="9" min="5" style="0" width="16"/>
  </cols>
  <sheetData>
    <row r="1" customFormat="false" ht="39.55" hidden="false" customHeight="false" outlineLevel="0" collapsed="false">
      <c r="A1" s="3" t="s">
        <v>53</v>
      </c>
      <c r="B1" s="3" t="s">
        <v>23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12</v>
      </c>
      <c r="H1" s="3" t="s">
        <v>13</v>
      </c>
      <c r="I1" s="3" t="s">
        <v>14</v>
      </c>
    </row>
    <row r="2" customFormat="false" ht="15" hidden="false" customHeight="false" outlineLevel="0" collapsed="false">
      <c r="A2" s="16" t="n">
        <v>45474</v>
      </c>
      <c r="B2" s="8" t="str">
        <f aca="false">TEXT(A2,"yyyy-mm")</f>
        <v>2024-07</v>
      </c>
      <c r="C2" s="17" t="n">
        <v>402.4</v>
      </c>
      <c r="D2" s="8"/>
      <c r="E2" s="8" t="n">
        <v>0</v>
      </c>
      <c r="F2" s="8" t="n">
        <v>0</v>
      </c>
      <c r="G2" s="18" t="n">
        <f aca="false">C2*(1+IF(A2&gt;=Inputs!$B$5,Inputs!$B$4,0))*(1+Inputs!$B$2*MAX(E2,F2*Inputs!$B$3))</f>
        <v>402.4</v>
      </c>
      <c r="H2" s="18" t="n">
        <f aca="false">C2*(1+IF(A2&gt;=Inputs!$C$5,Inputs!$C$4,0))*(1+Inputs!$C$2*MAX(E2,F2*Inputs!$C$3))</f>
        <v>402.4</v>
      </c>
      <c r="I2" s="18" t="n">
        <f aca="false">C2*(1+IF(A2&gt;=Inputs!$D$5,Inputs!$D$4,0))*(1+Inputs!$D$2*MAX(E2,F2*Inputs!$D$3))</f>
        <v>402.4</v>
      </c>
    </row>
    <row r="3" customFormat="false" ht="15" hidden="false" customHeight="false" outlineLevel="0" collapsed="false">
      <c r="A3" s="16" t="n">
        <v>45475</v>
      </c>
      <c r="B3" s="8" t="str">
        <f aca="false">TEXT(A3,"yyyy-mm")</f>
        <v>2024-07</v>
      </c>
      <c r="C3" s="17" t="n">
        <v>402.4</v>
      </c>
      <c r="D3" s="8"/>
      <c r="E3" s="8" t="n">
        <v>0</v>
      </c>
      <c r="F3" s="8" t="n">
        <v>0</v>
      </c>
      <c r="G3" s="18" t="n">
        <f aca="false">C3*(1+IF(A3&gt;=Inputs!$B$5,Inputs!$B$4,0))*(1+Inputs!$B$2*MAX(E3,F3*Inputs!$B$3))</f>
        <v>402.4</v>
      </c>
      <c r="H3" s="18" t="n">
        <f aca="false">C3*(1+IF(A3&gt;=Inputs!$C$5,Inputs!$C$4,0))*(1+Inputs!$C$2*MAX(E3,F3*Inputs!$C$3))</f>
        <v>402.4</v>
      </c>
      <c r="I3" s="18" t="n">
        <f aca="false">C3*(1+IF(A3&gt;=Inputs!$D$5,Inputs!$D$4,0))*(1+Inputs!$D$2*MAX(E3,F3*Inputs!$D$3))</f>
        <v>402.4</v>
      </c>
    </row>
    <row r="4" customFormat="false" ht="15" hidden="false" customHeight="false" outlineLevel="0" collapsed="false">
      <c r="A4" s="16" t="n">
        <v>45476</v>
      </c>
      <c r="B4" s="8" t="str">
        <f aca="false">TEXT(A4,"yyyy-mm")</f>
        <v>2024-07</v>
      </c>
      <c r="C4" s="17" t="n">
        <v>402.4</v>
      </c>
      <c r="D4" s="8"/>
      <c r="E4" s="8" t="n">
        <v>0</v>
      </c>
      <c r="F4" s="8" t="n">
        <v>0</v>
      </c>
      <c r="G4" s="18" t="n">
        <f aca="false">C4*(1+IF(A4&gt;=Inputs!$B$5,Inputs!$B$4,0))*(1+Inputs!$B$2*MAX(E4,F4*Inputs!$B$3))</f>
        <v>402.4</v>
      </c>
      <c r="H4" s="18" t="n">
        <f aca="false">C4*(1+IF(A4&gt;=Inputs!$C$5,Inputs!$C$4,0))*(1+Inputs!$C$2*MAX(E4,F4*Inputs!$C$3))</f>
        <v>402.4</v>
      </c>
      <c r="I4" s="18" t="n">
        <f aca="false">C4*(1+IF(A4&gt;=Inputs!$D$5,Inputs!$D$4,0))*(1+Inputs!$D$2*MAX(E4,F4*Inputs!$D$3))</f>
        <v>402.4</v>
      </c>
    </row>
    <row r="5" customFormat="false" ht="15" hidden="false" customHeight="false" outlineLevel="0" collapsed="false">
      <c r="A5" s="16" t="n">
        <v>45477</v>
      </c>
      <c r="B5" s="8" t="str">
        <f aca="false">TEXT(A5,"yyyy-mm")</f>
        <v>2024-07</v>
      </c>
      <c r="C5" s="17" t="n">
        <v>402.4</v>
      </c>
      <c r="D5" s="8"/>
      <c r="E5" s="8" t="n">
        <v>0</v>
      </c>
      <c r="F5" s="8" t="n">
        <v>0</v>
      </c>
      <c r="G5" s="18" t="n">
        <f aca="false">C5*(1+IF(A5&gt;=Inputs!$B$5,Inputs!$B$4,0))*(1+Inputs!$B$2*MAX(E5,F5*Inputs!$B$3))</f>
        <v>402.4</v>
      </c>
      <c r="H5" s="18" t="n">
        <f aca="false">C5*(1+IF(A5&gt;=Inputs!$C$5,Inputs!$C$4,0))*(1+Inputs!$C$2*MAX(E5,F5*Inputs!$C$3))</f>
        <v>402.4</v>
      </c>
      <c r="I5" s="18" t="n">
        <f aca="false">C5*(1+IF(A5&gt;=Inputs!$D$5,Inputs!$D$4,0))*(1+Inputs!$D$2*MAX(E5,F5*Inputs!$D$3))</f>
        <v>402.4</v>
      </c>
    </row>
    <row r="6" customFormat="false" ht="15" hidden="false" customHeight="false" outlineLevel="0" collapsed="false">
      <c r="A6" s="16" t="n">
        <v>45478</v>
      </c>
      <c r="B6" s="8" t="str">
        <f aca="false">TEXT(A6,"yyyy-mm")</f>
        <v>2024-07</v>
      </c>
      <c r="C6" s="17" t="n">
        <v>402.4</v>
      </c>
      <c r="D6" s="8"/>
      <c r="E6" s="8" t="n">
        <v>0</v>
      </c>
      <c r="F6" s="8" t="n">
        <v>1</v>
      </c>
      <c r="G6" s="18" t="n">
        <f aca="false">C6*(1+IF(A6&gt;=Inputs!$B$5,Inputs!$B$4,0))*(1+Inputs!$B$2*MAX(E6,F6*Inputs!$B$3))</f>
        <v>402.4</v>
      </c>
      <c r="H6" s="18" t="n">
        <f aca="false">C6*(1+IF(A6&gt;=Inputs!$C$5,Inputs!$C$4,0))*(1+Inputs!$C$2*MAX(E6,F6*Inputs!$C$3))</f>
        <v>603.6</v>
      </c>
      <c r="I6" s="18" t="n">
        <f aca="false">C6*(1+IF(A6&gt;=Inputs!$D$5,Inputs!$D$4,0))*(1+Inputs!$D$2*MAX(E6,F6*Inputs!$D$3))</f>
        <v>402.4</v>
      </c>
    </row>
    <row r="7" customFormat="false" ht="15" hidden="false" customHeight="false" outlineLevel="0" collapsed="false">
      <c r="A7" s="16" t="n">
        <v>45479</v>
      </c>
      <c r="B7" s="8" t="str">
        <f aca="false">TEXT(A7,"yyyy-mm")</f>
        <v>2024-07</v>
      </c>
      <c r="C7" s="17" t="n">
        <v>402.4</v>
      </c>
      <c r="D7" s="8"/>
      <c r="E7" s="8" t="n">
        <v>0</v>
      </c>
      <c r="F7" s="8" t="n">
        <v>1</v>
      </c>
      <c r="G7" s="18" t="n">
        <f aca="false">C7*(1+IF(A7&gt;=Inputs!$B$5,Inputs!$B$4,0))*(1+Inputs!$B$2*MAX(E7,F7*Inputs!$B$3))</f>
        <v>402.4</v>
      </c>
      <c r="H7" s="18" t="n">
        <f aca="false">C7*(1+IF(A7&gt;=Inputs!$C$5,Inputs!$C$4,0))*(1+Inputs!$C$2*MAX(E7,F7*Inputs!$C$3))</f>
        <v>603.6</v>
      </c>
      <c r="I7" s="18" t="n">
        <f aca="false">C7*(1+IF(A7&gt;=Inputs!$D$5,Inputs!$D$4,0))*(1+Inputs!$D$2*MAX(E7,F7*Inputs!$D$3))</f>
        <v>402.4</v>
      </c>
    </row>
    <row r="8" customFormat="false" ht="15" hidden="false" customHeight="false" outlineLevel="0" collapsed="false">
      <c r="A8" s="16" t="n">
        <v>45480</v>
      </c>
      <c r="B8" s="8" t="str">
        <f aca="false">TEXT(A8,"yyyy-mm")</f>
        <v>2024-07</v>
      </c>
      <c r="C8" s="17" t="n">
        <v>402.4</v>
      </c>
      <c r="D8" s="8"/>
      <c r="E8" s="8" t="n">
        <v>0</v>
      </c>
      <c r="F8" s="8" t="n">
        <v>0</v>
      </c>
      <c r="G8" s="18" t="n">
        <f aca="false">C8*(1+IF(A8&gt;=Inputs!$B$5,Inputs!$B$4,0))*(1+Inputs!$B$2*MAX(E8,F8*Inputs!$B$3))</f>
        <v>402.4</v>
      </c>
      <c r="H8" s="18" t="n">
        <f aca="false">C8*(1+IF(A8&gt;=Inputs!$C$5,Inputs!$C$4,0))*(1+Inputs!$C$2*MAX(E8,F8*Inputs!$C$3))</f>
        <v>402.4</v>
      </c>
      <c r="I8" s="18" t="n">
        <f aca="false">C8*(1+IF(A8&gt;=Inputs!$D$5,Inputs!$D$4,0))*(1+Inputs!$D$2*MAX(E8,F8*Inputs!$D$3))</f>
        <v>402.4</v>
      </c>
    </row>
    <row r="9" customFormat="false" ht="15" hidden="false" customHeight="false" outlineLevel="0" collapsed="false">
      <c r="A9" s="16" t="n">
        <v>45481</v>
      </c>
      <c r="B9" s="8" t="str">
        <f aca="false">TEXT(A9,"yyyy-mm")</f>
        <v>2024-07</v>
      </c>
      <c r="C9" s="17" t="n">
        <v>402.4</v>
      </c>
      <c r="D9" s="8"/>
      <c r="E9" s="8" t="n">
        <v>0</v>
      </c>
      <c r="F9" s="8" t="n">
        <v>0</v>
      </c>
      <c r="G9" s="18" t="n">
        <f aca="false">C9*(1+IF(A9&gt;=Inputs!$B$5,Inputs!$B$4,0))*(1+Inputs!$B$2*MAX(E9,F9*Inputs!$B$3))</f>
        <v>402.4</v>
      </c>
      <c r="H9" s="18" t="n">
        <f aca="false">C9*(1+IF(A9&gt;=Inputs!$C$5,Inputs!$C$4,0))*(1+Inputs!$C$2*MAX(E9,F9*Inputs!$C$3))</f>
        <v>402.4</v>
      </c>
      <c r="I9" s="18" t="n">
        <f aca="false">C9*(1+IF(A9&gt;=Inputs!$D$5,Inputs!$D$4,0))*(1+Inputs!$D$2*MAX(E9,F9*Inputs!$D$3))</f>
        <v>402.4</v>
      </c>
    </row>
    <row r="10" customFormat="false" ht="15" hidden="false" customHeight="false" outlineLevel="0" collapsed="false">
      <c r="A10" s="16" t="n">
        <v>45482</v>
      </c>
      <c r="B10" s="8" t="str">
        <f aca="false">TEXT(A10,"yyyy-mm")</f>
        <v>2024-07</v>
      </c>
      <c r="C10" s="17" t="n">
        <v>402.4</v>
      </c>
      <c r="D10" s="8"/>
      <c r="E10" s="8" t="n">
        <v>0</v>
      </c>
      <c r="F10" s="8" t="n">
        <v>0</v>
      </c>
      <c r="G10" s="18" t="n">
        <f aca="false">C10*(1+IF(A10&gt;=Inputs!$B$5,Inputs!$B$4,0))*(1+Inputs!$B$2*MAX(E10,F10*Inputs!$B$3))</f>
        <v>402.4</v>
      </c>
      <c r="H10" s="18" t="n">
        <f aca="false">C10*(1+IF(A10&gt;=Inputs!$C$5,Inputs!$C$4,0))*(1+Inputs!$C$2*MAX(E10,F10*Inputs!$C$3))</f>
        <v>402.4</v>
      </c>
      <c r="I10" s="18" t="n">
        <f aca="false">C10*(1+IF(A10&gt;=Inputs!$D$5,Inputs!$D$4,0))*(1+Inputs!$D$2*MAX(E10,F10*Inputs!$D$3))</f>
        <v>402.4</v>
      </c>
    </row>
    <row r="11" customFormat="false" ht="15" hidden="false" customHeight="false" outlineLevel="0" collapsed="false">
      <c r="A11" s="16" t="n">
        <v>45483</v>
      </c>
      <c r="B11" s="8" t="str">
        <f aca="false">TEXT(A11,"yyyy-mm")</f>
        <v>2024-07</v>
      </c>
      <c r="C11" s="17" t="n">
        <v>402.4</v>
      </c>
      <c r="D11" s="8"/>
      <c r="E11" s="8" t="n">
        <v>0</v>
      </c>
      <c r="F11" s="8" t="n">
        <v>0</v>
      </c>
      <c r="G11" s="18" t="n">
        <f aca="false">C11*(1+IF(A11&gt;=Inputs!$B$5,Inputs!$B$4,0))*(1+Inputs!$B$2*MAX(E11,F11*Inputs!$B$3))</f>
        <v>402.4</v>
      </c>
      <c r="H11" s="18" t="n">
        <f aca="false">C11*(1+IF(A11&gt;=Inputs!$C$5,Inputs!$C$4,0))*(1+Inputs!$C$2*MAX(E11,F11*Inputs!$C$3))</f>
        <v>402.4</v>
      </c>
      <c r="I11" s="18" t="n">
        <f aca="false">C11*(1+IF(A11&gt;=Inputs!$D$5,Inputs!$D$4,0))*(1+Inputs!$D$2*MAX(E11,F11*Inputs!$D$3))</f>
        <v>402.4</v>
      </c>
    </row>
    <row r="12" customFormat="false" ht="15" hidden="false" customHeight="false" outlineLevel="0" collapsed="false">
      <c r="A12" s="16" t="n">
        <v>45484</v>
      </c>
      <c r="B12" s="8" t="str">
        <f aca="false">TEXT(A12,"yyyy-mm")</f>
        <v>2024-07</v>
      </c>
      <c r="C12" s="17" t="n">
        <v>402.4</v>
      </c>
      <c r="D12" s="8"/>
      <c r="E12" s="8" t="n">
        <v>0</v>
      </c>
      <c r="F12" s="8" t="n">
        <v>0</v>
      </c>
      <c r="G12" s="18" t="n">
        <f aca="false">C12*(1+IF(A12&gt;=Inputs!$B$5,Inputs!$B$4,0))*(1+Inputs!$B$2*MAX(E12,F12*Inputs!$B$3))</f>
        <v>402.4</v>
      </c>
      <c r="H12" s="18" t="n">
        <f aca="false">C12*(1+IF(A12&gt;=Inputs!$C$5,Inputs!$C$4,0))*(1+Inputs!$C$2*MAX(E12,F12*Inputs!$C$3))</f>
        <v>402.4</v>
      </c>
      <c r="I12" s="18" t="n">
        <f aca="false">C12*(1+IF(A12&gt;=Inputs!$D$5,Inputs!$D$4,0))*(1+Inputs!$D$2*MAX(E12,F12*Inputs!$D$3))</f>
        <v>402.4</v>
      </c>
    </row>
    <row r="13" customFormat="false" ht="15" hidden="false" customHeight="false" outlineLevel="0" collapsed="false">
      <c r="A13" s="16" t="n">
        <v>45485</v>
      </c>
      <c r="B13" s="8" t="str">
        <f aca="false">TEXT(A13,"yyyy-mm")</f>
        <v>2024-07</v>
      </c>
      <c r="C13" s="17" t="n">
        <v>402.4</v>
      </c>
      <c r="D13" s="8"/>
      <c r="E13" s="8" t="n">
        <v>0</v>
      </c>
      <c r="F13" s="8" t="n">
        <v>0</v>
      </c>
      <c r="G13" s="18" t="n">
        <f aca="false">C13*(1+IF(A13&gt;=Inputs!$B$5,Inputs!$B$4,0))*(1+Inputs!$B$2*MAX(E13,F13*Inputs!$B$3))</f>
        <v>402.4</v>
      </c>
      <c r="H13" s="18" t="n">
        <f aca="false">C13*(1+IF(A13&gt;=Inputs!$C$5,Inputs!$C$4,0))*(1+Inputs!$C$2*MAX(E13,F13*Inputs!$C$3))</f>
        <v>402.4</v>
      </c>
      <c r="I13" s="18" t="n">
        <f aca="false">C13*(1+IF(A13&gt;=Inputs!$D$5,Inputs!$D$4,0))*(1+Inputs!$D$2*MAX(E13,F13*Inputs!$D$3))</f>
        <v>402.4</v>
      </c>
    </row>
    <row r="14" customFormat="false" ht="15" hidden="false" customHeight="false" outlineLevel="0" collapsed="false">
      <c r="A14" s="16" t="n">
        <v>45486</v>
      </c>
      <c r="B14" s="8" t="str">
        <f aca="false">TEXT(A14,"yyyy-mm")</f>
        <v>2024-07</v>
      </c>
      <c r="C14" s="17" t="n">
        <v>402.4</v>
      </c>
      <c r="D14" s="8"/>
      <c r="E14" s="8" t="n">
        <v>0</v>
      </c>
      <c r="F14" s="8" t="n">
        <v>0</v>
      </c>
      <c r="G14" s="18" t="n">
        <f aca="false">C14*(1+IF(A14&gt;=Inputs!$B$5,Inputs!$B$4,0))*(1+Inputs!$B$2*MAX(E14,F14*Inputs!$B$3))</f>
        <v>402.4</v>
      </c>
      <c r="H14" s="18" t="n">
        <f aca="false">C14*(1+IF(A14&gt;=Inputs!$C$5,Inputs!$C$4,0))*(1+Inputs!$C$2*MAX(E14,F14*Inputs!$C$3))</f>
        <v>402.4</v>
      </c>
      <c r="I14" s="18" t="n">
        <f aca="false">C14*(1+IF(A14&gt;=Inputs!$D$5,Inputs!$D$4,0))*(1+Inputs!$D$2*MAX(E14,F14*Inputs!$D$3))</f>
        <v>402.4</v>
      </c>
    </row>
    <row r="15" customFormat="false" ht="15" hidden="false" customHeight="false" outlineLevel="0" collapsed="false">
      <c r="A15" s="16" t="n">
        <v>45487</v>
      </c>
      <c r="B15" s="8" t="str">
        <f aca="false">TEXT(A15,"yyyy-mm")</f>
        <v>2024-07</v>
      </c>
      <c r="C15" s="17" t="n">
        <v>402.4</v>
      </c>
      <c r="D15" s="8"/>
      <c r="E15" s="8" t="n">
        <v>0</v>
      </c>
      <c r="F15" s="8" t="n">
        <v>0</v>
      </c>
      <c r="G15" s="18" t="n">
        <f aca="false">C15*(1+IF(A15&gt;=Inputs!$B$5,Inputs!$B$4,0))*(1+Inputs!$B$2*MAX(E15,F15*Inputs!$B$3))</f>
        <v>402.4</v>
      </c>
      <c r="H15" s="18" t="n">
        <f aca="false">C15*(1+IF(A15&gt;=Inputs!$C$5,Inputs!$C$4,0))*(1+Inputs!$C$2*MAX(E15,F15*Inputs!$C$3))</f>
        <v>402.4</v>
      </c>
      <c r="I15" s="18" t="n">
        <f aca="false">C15*(1+IF(A15&gt;=Inputs!$D$5,Inputs!$D$4,0))*(1+Inputs!$D$2*MAX(E15,F15*Inputs!$D$3))</f>
        <v>402.4</v>
      </c>
    </row>
    <row r="16" customFormat="false" ht="15" hidden="false" customHeight="false" outlineLevel="0" collapsed="false">
      <c r="A16" s="16" t="n">
        <v>45488</v>
      </c>
      <c r="B16" s="8" t="str">
        <f aca="false">TEXT(A16,"yyyy-mm")</f>
        <v>2024-07</v>
      </c>
      <c r="C16" s="17" t="n">
        <v>402.4</v>
      </c>
      <c r="D16" s="8"/>
      <c r="E16" s="8" t="n">
        <v>0</v>
      </c>
      <c r="F16" s="8" t="n">
        <v>0</v>
      </c>
      <c r="G16" s="18" t="n">
        <f aca="false">C16*(1+IF(A16&gt;=Inputs!$B$5,Inputs!$B$4,0))*(1+Inputs!$B$2*MAX(E16,F16*Inputs!$B$3))</f>
        <v>402.4</v>
      </c>
      <c r="H16" s="18" t="n">
        <f aca="false">C16*(1+IF(A16&gt;=Inputs!$C$5,Inputs!$C$4,0))*(1+Inputs!$C$2*MAX(E16,F16*Inputs!$C$3))</f>
        <v>402.4</v>
      </c>
      <c r="I16" s="18" t="n">
        <f aca="false">C16*(1+IF(A16&gt;=Inputs!$D$5,Inputs!$D$4,0))*(1+Inputs!$D$2*MAX(E16,F16*Inputs!$D$3))</f>
        <v>402.4</v>
      </c>
    </row>
    <row r="17" customFormat="false" ht="15" hidden="false" customHeight="false" outlineLevel="0" collapsed="false">
      <c r="A17" s="16" t="n">
        <v>45489</v>
      </c>
      <c r="B17" s="8" t="str">
        <f aca="false">TEXT(A17,"yyyy-mm")</f>
        <v>2024-07</v>
      </c>
      <c r="C17" s="17" t="n">
        <v>402.4</v>
      </c>
      <c r="D17" s="8" t="s">
        <v>58</v>
      </c>
      <c r="E17" s="8" t="n">
        <v>1</v>
      </c>
      <c r="F17" s="8" t="n">
        <v>0</v>
      </c>
      <c r="G17" s="18" t="n">
        <f aca="false">C17*(1+IF(A17&gt;=Inputs!$B$5,Inputs!$B$4,0))*(1+Inputs!$B$2*MAX(E17,F17*Inputs!$B$3))</f>
        <v>503</v>
      </c>
      <c r="H17" s="18" t="n">
        <f aca="false">C17*(1+IF(A17&gt;=Inputs!$C$5,Inputs!$C$4,0))*(1+Inputs!$C$2*MAX(E17,F17*Inputs!$C$3))</f>
        <v>603.6</v>
      </c>
      <c r="I17" s="18" t="n">
        <f aca="false">C17*(1+IF(A17&gt;=Inputs!$D$5,Inputs!$D$4,0))*(1+Inputs!$D$2*MAX(E17,F17*Inputs!$D$3))</f>
        <v>503</v>
      </c>
    </row>
    <row r="18" customFormat="false" ht="15" hidden="false" customHeight="false" outlineLevel="0" collapsed="false">
      <c r="A18" s="16" t="n">
        <v>45490</v>
      </c>
      <c r="B18" s="8" t="str">
        <f aca="false">TEXT(A18,"yyyy-mm")</f>
        <v>2024-07</v>
      </c>
      <c r="C18" s="17" t="n">
        <v>402.4</v>
      </c>
      <c r="D18" s="8" t="s">
        <v>58</v>
      </c>
      <c r="E18" s="8" t="n">
        <v>1</v>
      </c>
      <c r="F18" s="8" t="n">
        <v>0</v>
      </c>
      <c r="G18" s="18" t="n">
        <f aca="false">C18*(1+IF(A18&gt;=Inputs!$B$5,Inputs!$B$4,0))*(1+Inputs!$B$2*MAX(E18,F18*Inputs!$B$3))</f>
        <v>503</v>
      </c>
      <c r="H18" s="18" t="n">
        <f aca="false">C18*(1+IF(A18&gt;=Inputs!$C$5,Inputs!$C$4,0))*(1+Inputs!$C$2*MAX(E18,F18*Inputs!$C$3))</f>
        <v>603.6</v>
      </c>
      <c r="I18" s="18" t="n">
        <f aca="false">C18*(1+IF(A18&gt;=Inputs!$D$5,Inputs!$D$4,0))*(1+Inputs!$D$2*MAX(E18,F18*Inputs!$D$3))</f>
        <v>503</v>
      </c>
    </row>
    <row r="19" customFormat="false" ht="15" hidden="false" customHeight="false" outlineLevel="0" collapsed="false">
      <c r="A19" s="16" t="n">
        <v>45491</v>
      </c>
      <c r="B19" s="8" t="str">
        <f aca="false">TEXT(A19,"yyyy-mm")</f>
        <v>2024-07</v>
      </c>
      <c r="C19" s="17" t="n">
        <v>402.4</v>
      </c>
      <c r="D19" s="8"/>
      <c r="E19" s="8" t="n">
        <v>0</v>
      </c>
      <c r="F19" s="8" t="n">
        <v>0</v>
      </c>
      <c r="G19" s="18" t="n">
        <f aca="false">C19*(1+IF(A19&gt;=Inputs!$B$5,Inputs!$B$4,0))*(1+Inputs!$B$2*MAX(E19,F19*Inputs!$B$3))</f>
        <v>402.4</v>
      </c>
      <c r="H19" s="18" t="n">
        <f aca="false">C19*(1+IF(A19&gt;=Inputs!$C$5,Inputs!$C$4,0))*(1+Inputs!$C$2*MAX(E19,F19*Inputs!$C$3))</f>
        <v>402.4</v>
      </c>
      <c r="I19" s="18" t="n">
        <f aca="false">C19*(1+IF(A19&gt;=Inputs!$D$5,Inputs!$D$4,0))*(1+Inputs!$D$2*MAX(E19,F19*Inputs!$D$3))</f>
        <v>402.4</v>
      </c>
    </row>
    <row r="20" customFormat="false" ht="15" hidden="false" customHeight="false" outlineLevel="0" collapsed="false">
      <c r="A20" s="16" t="n">
        <v>45492</v>
      </c>
      <c r="B20" s="8" t="str">
        <f aca="false">TEXT(A20,"yyyy-mm")</f>
        <v>2024-07</v>
      </c>
      <c r="C20" s="17" t="n">
        <v>402.4</v>
      </c>
      <c r="D20" s="8"/>
      <c r="E20" s="8" t="n">
        <v>0</v>
      </c>
      <c r="F20" s="8" t="n">
        <v>0</v>
      </c>
      <c r="G20" s="18" t="n">
        <f aca="false">C20*(1+IF(A20&gt;=Inputs!$B$5,Inputs!$B$4,0))*(1+Inputs!$B$2*MAX(E20,F20*Inputs!$B$3))</f>
        <v>402.4</v>
      </c>
      <c r="H20" s="18" t="n">
        <f aca="false">C20*(1+IF(A20&gt;=Inputs!$C$5,Inputs!$C$4,0))*(1+Inputs!$C$2*MAX(E20,F20*Inputs!$C$3))</f>
        <v>402.4</v>
      </c>
      <c r="I20" s="18" t="n">
        <f aca="false">C20*(1+IF(A20&gt;=Inputs!$D$5,Inputs!$D$4,0))*(1+Inputs!$D$2*MAX(E20,F20*Inputs!$D$3))</f>
        <v>402.4</v>
      </c>
    </row>
    <row r="21" customFormat="false" ht="15" hidden="false" customHeight="false" outlineLevel="0" collapsed="false">
      <c r="A21" s="16" t="n">
        <v>45493</v>
      </c>
      <c r="B21" s="8" t="str">
        <f aca="false">TEXT(A21,"yyyy-mm")</f>
        <v>2024-07</v>
      </c>
      <c r="C21" s="17" t="n">
        <v>402.4</v>
      </c>
      <c r="D21" s="8"/>
      <c r="E21" s="8" t="n">
        <v>0</v>
      </c>
      <c r="F21" s="8" t="n">
        <v>0</v>
      </c>
      <c r="G21" s="18" t="n">
        <f aca="false">C21*(1+IF(A21&gt;=Inputs!$B$5,Inputs!$B$4,0))*(1+Inputs!$B$2*MAX(E21,F21*Inputs!$B$3))</f>
        <v>402.4</v>
      </c>
      <c r="H21" s="18" t="n">
        <f aca="false">C21*(1+IF(A21&gt;=Inputs!$C$5,Inputs!$C$4,0))*(1+Inputs!$C$2*MAX(E21,F21*Inputs!$C$3))</f>
        <v>402.4</v>
      </c>
      <c r="I21" s="18" t="n">
        <f aca="false">C21*(1+IF(A21&gt;=Inputs!$D$5,Inputs!$D$4,0))*(1+Inputs!$D$2*MAX(E21,F21*Inputs!$D$3))</f>
        <v>402.4</v>
      </c>
    </row>
    <row r="22" customFormat="false" ht="15" hidden="false" customHeight="false" outlineLevel="0" collapsed="false">
      <c r="A22" s="16" t="n">
        <v>45494</v>
      </c>
      <c r="B22" s="8" t="str">
        <f aca="false">TEXT(A22,"yyyy-mm")</f>
        <v>2024-07</v>
      </c>
      <c r="C22" s="17" t="n">
        <v>402.4</v>
      </c>
      <c r="D22" s="8"/>
      <c r="E22" s="8" t="n">
        <v>0</v>
      </c>
      <c r="F22" s="8" t="n">
        <v>0</v>
      </c>
      <c r="G22" s="18" t="n">
        <f aca="false">C22*(1+IF(A22&gt;=Inputs!$B$5,Inputs!$B$4,0))*(1+Inputs!$B$2*MAX(E22,F22*Inputs!$B$3))</f>
        <v>402.4</v>
      </c>
      <c r="H22" s="18" t="n">
        <f aca="false">C22*(1+IF(A22&gt;=Inputs!$C$5,Inputs!$C$4,0))*(1+Inputs!$C$2*MAX(E22,F22*Inputs!$C$3))</f>
        <v>402.4</v>
      </c>
      <c r="I22" s="18" t="n">
        <f aca="false">C22*(1+IF(A22&gt;=Inputs!$D$5,Inputs!$D$4,0))*(1+Inputs!$D$2*MAX(E22,F22*Inputs!$D$3))</f>
        <v>402.4</v>
      </c>
    </row>
    <row r="23" customFormat="false" ht="15" hidden="false" customHeight="false" outlineLevel="0" collapsed="false">
      <c r="A23" s="16" t="n">
        <v>45495</v>
      </c>
      <c r="B23" s="8" t="str">
        <f aca="false">TEXT(A23,"yyyy-mm")</f>
        <v>2024-07</v>
      </c>
      <c r="C23" s="17" t="n">
        <v>402.4</v>
      </c>
      <c r="D23" s="8"/>
      <c r="E23" s="8" t="n">
        <v>0</v>
      </c>
      <c r="F23" s="8" t="n">
        <v>0</v>
      </c>
      <c r="G23" s="18" t="n">
        <f aca="false">C23*(1+IF(A23&gt;=Inputs!$B$5,Inputs!$B$4,0))*(1+Inputs!$B$2*MAX(E23,F23*Inputs!$B$3))</f>
        <v>402.4</v>
      </c>
      <c r="H23" s="18" t="n">
        <f aca="false">C23*(1+IF(A23&gt;=Inputs!$C$5,Inputs!$C$4,0))*(1+Inputs!$C$2*MAX(E23,F23*Inputs!$C$3))</f>
        <v>402.4</v>
      </c>
      <c r="I23" s="18" t="n">
        <f aca="false">C23*(1+IF(A23&gt;=Inputs!$D$5,Inputs!$D$4,0))*(1+Inputs!$D$2*MAX(E23,F23*Inputs!$D$3))</f>
        <v>402.4</v>
      </c>
    </row>
    <row r="24" customFormat="false" ht="15" hidden="false" customHeight="false" outlineLevel="0" collapsed="false">
      <c r="A24" s="16" t="n">
        <v>45496</v>
      </c>
      <c r="B24" s="8" t="str">
        <f aca="false">TEXT(A24,"yyyy-mm")</f>
        <v>2024-07</v>
      </c>
      <c r="C24" s="17" t="n">
        <v>402.4</v>
      </c>
      <c r="D24" s="8"/>
      <c r="E24" s="8" t="n">
        <v>0</v>
      </c>
      <c r="F24" s="8" t="n">
        <v>0</v>
      </c>
      <c r="G24" s="18" t="n">
        <f aca="false">C24*(1+IF(A24&gt;=Inputs!$B$5,Inputs!$B$4,0))*(1+Inputs!$B$2*MAX(E24,F24*Inputs!$B$3))</f>
        <v>402.4</v>
      </c>
      <c r="H24" s="18" t="n">
        <f aca="false">C24*(1+IF(A24&gt;=Inputs!$C$5,Inputs!$C$4,0))*(1+Inputs!$C$2*MAX(E24,F24*Inputs!$C$3))</f>
        <v>402.4</v>
      </c>
      <c r="I24" s="18" t="n">
        <f aca="false">C24*(1+IF(A24&gt;=Inputs!$D$5,Inputs!$D$4,0))*(1+Inputs!$D$2*MAX(E24,F24*Inputs!$D$3))</f>
        <v>402.4</v>
      </c>
    </row>
    <row r="25" customFormat="false" ht="15" hidden="false" customHeight="false" outlineLevel="0" collapsed="false">
      <c r="A25" s="16" t="n">
        <v>45497</v>
      </c>
      <c r="B25" s="8" t="str">
        <f aca="false">TEXT(A25,"yyyy-mm")</f>
        <v>2024-07</v>
      </c>
      <c r="C25" s="17" t="n">
        <v>402.4</v>
      </c>
      <c r="D25" s="8"/>
      <c r="E25" s="8" t="n">
        <v>0</v>
      </c>
      <c r="F25" s="8" t="n">
        <v>0</v>
      </c>
      <c r="G25" s="18" t="n">
        <f aca="false">C25*(1+IF(A25&gt;=Inputs!$B$5,Inputs!$B$4,0))*(1+Inputs!$B$2*MAX(E25,F25*Inputs!$B$3))</f>
        <v>402.4</v>
      </c>
      <c r="H25" s="18" t="n">
        <f aca="false">C25*(1+IF(A25&gt;=Inputs!$C$5,Inputs!$C$4,0))*(1+Inputs!$C$2*MAX(E25,F25*Inputs!$C$3))</f>
        <v>402.4</v>
      </c>
      <c r="I25" s="18" t="n">
        <f aca="false">C25*(1+IF(A25&gt;=Inputs!$D$5,Inputs!$D$4,0))*(1+Inputs!$D$2*MAX(E25,F25*Inputs!$D$3))</f>
        <v>402.4</v>
      </c>
    </row>
    <row r="26" customFormat="false" ht="15" hidden="false" customHeight="false" outlineLevel="0" collapsed="false">
      <c r="A26" s="16" t="n">
        <v>45498</v>
      </c>
      <c r="B26" s="8" t="str">
        <f aca="false">TEXT(A26,"yyyy-mm")</f>
        <v>2024-07</v>
      </c>
      <c r="C26" s="17" t="n">
        <v>402.4</v>
      </c>
      <c r="D26" s="8"/>
      <c r="E26" s="8" t="n">
        <v>0</v>
      </c>
      <c r="F26" s="8" t="n">
        <v>0</v>
      </c>
      <c r="G26" s="18" t="n">
        <f aca="false">C26*(1+IF(A26&gt;=Inputs!$B$5,Inputs!$B$4,0))*(1+Inputs!$B$2*MAX(E26,F26*Inputs!$B$3))</f>
        <v>402.4</v>
      </c>
      <c r="H26" s="18" t="n">
        <f aca="false">C26*(1+IF(A26&gt;=Inputs!$C$5,Inputs!$C$4,0))*(1+Inputs!$C$2*MAX(E26,F26*Inputs!$C$3))</f>
        <v>402.4</v>
      </c>
      <c r="I26" s="18" t="n">
        <f aca="false">C26*(1+IF(A26&gt;=Inputs!$D$5,Inputs!$D$4,0))*(1+Inputs!$D$2*MAX(E26,F26*Inputs!$D$3))</f>
        <v>402.4</v>
      </c>
    </row>
    <row r="27" customFormat="false" ht="15" hidden="false" customHeight="false" outlineLevel="0" collapsed="false">
      <c r="A27" s="16" t="n">
        <v>45499</v>
      </c>
      <c r="B27" s="8" t="str">
        <f aca="false">TEXT(A27,"yyyy-mm")</f>
        <v>2024-07</v>
      </c>
      <c r="C27" s="17" t="n">
        <v>402.4</v>
      </c>
      <c r="D27" s="8"/>
      <c r="E27" s="8" t="n">
        <v>0</v>
      </c>
      <c r="F27" s="8" t="n">
        <v>0</v>
      </c>
      <c r="G27" s="18" t="n">
        <f aca="false">C27*(1+IF(A27&gt;=Inputs!$B$5,Inputs!$B$4,0))*(1+Inputs!$B$2*MAX(E27,F27*Inputs!$B$3))</f>
        <v>402.4</v>
      </c>
      <c r="H27" s="18" t="n">
        <f aca="false">C27*(1+IF(A27&gt;=Inputs!$C$5,Inputs!$C$4,0))*(1+Inputs!$C$2*MAX(E27,F27*Inputs!$C$3))</f>
        <v>402.4</v>
      </c>
      <c r="I27" s="18" t="n">
        <f aca="false">C27*(1+IF(A27&gt;=Inputs!$D$5,Inputs!$D$4,0))*(1+Inputs!$D$2*MAX(E27,F27*Inputs!$D$3))</f>
        <v>402.4</v>
      </c>
    </row>
    <row r="28" customFormat="false" ht="15" hidden="false" customHeight="false" outlineLevel="0" collapsed="false">
      <c r="A28" s="16" t="n">
        <v>45500</v>
      </c>
      <c r="B28" s="8" t="str">
        <f aca="false">TEXT(A28,"yyyy-mm")</f>
        <v>2024-07</v>
      </c>
      <c r="C28" s="17" t="n">
        <v>402.4</v>
      </c>
      <c r="D28" s="8"/>
      <c r="E28" s="8" t="n">
        <v>0</v>
      </c>
      <c r="F28" s="8" t="n">
        <v>0</v>
      </c>
      <c r="G28" s="18" t="n">
        <f aca="false">C28*(1+IF(A28&gt;=Inputs!$B$5,Inputs!$B$4,0))*(1+Inputs!$B$2*MAX(E28,F28*Inputs!$B$3))</f>
        <v>402.4</v>
      </c>
      <c r="H28" s="18" t="n">
        <f aca="false">C28*(1+IF(A28&gt;=Inputs!$C$5,Inputs!$C$4,0))*(1+Inputs!$C$2*MAX(E28,F28*Inputs!$C$3))</f>
        <v>402.4</v>
      </c>
      <c r="I28" s="18" t="n">
        <f aca="false">C28*(1+IF(A28&gt;=Inputs!$D$5,Inputs!$D$4,0))*(1+Inputs!$D$2*MAX(E28,F28*Inputs!$D$3))</f>
        <v>402.4</v>
      </c>
    </row>
    <row r="29" customFormat="false" ht="15" hidden="false" customHeight="false" outlineLevel="0" collapsed="false">
      <c r="A29" s="16" t="n">
        <v>45501</v>
      </c>
      <c r="B29" s="8" t="str">
        <f aca="false">TEXT(A29,"yyyy-mm")</f>
        <v>2024-07</v>
      </c>
      <c r="C29" s="17" t="n">
        <v>402.4</v>
      </c>
      <c r="D29" s="8"/>
      <c r="E29" s="8" t="n">
        <v>0</v>
      </c>
      <c r="F29" s="8" t="n">
        <v>0</v>
      </c>
      <c r="G29" s="18" t="n">
        <f aca="false">C29*(1+IF(A29&gt;=Inputs!$B$5,Inputs!$B$4,0))*(1+Inputs!$B$2*MAX(E29,F29*Inputs!$B$3))</f>
        <v>402.4</v>
      </c>
      <c r="H29" s="18" t="n">
        <f aca="false">C29*(1+IF(A29&gt;=Inputs!$C$5,Inputs!$C$4,0))*(1+Inputs!$C$2*MAX(E29,F29*Inputs!$C$3))</f>
        <v>402.4</v>
      </c>
      <c r="I29" s="18" t="n">
        <f aca="false">C29*(1+IF(A29&gt;=Inputs!$D$5,Inputs!$D$4,0))*(1+Inputs!$D$2*MAX(E29,F29*Inputs!$D$3))</f>
        <v>402.4</v>
      </c>
    </row>
    <row r="30" customFormat="false" ht="15" hidden="false" customHeight="false" outlineLevel="0" collapsed="false">
      <c r="A30" s="16" t="n">
        <v>45502</v>
      </c>
      <c r="B30" s="8" t="str">
        <f aca="false">TEXT(A30,"yyyy-mm")</f>
        <v>2024-07</v>
      </c>
      <c r="C30" s="17" t="n">
        <v>402.4</v>
      </c>
      <c r="D30" s="8"/>
      <c r="E30" s="8" t="n">
        <v>0</v>
      </c>
      <c r="F30" s="8" t="n">
        <v>0</v>
      </c>
      <c r="G30" s="18" t="n">
        <f aca="false">C30*(1+IF(A30&gt;=Inputs!$B$5,Inputs!$B$4,0))*(1+Inputs!$B$2*MAX(E30,F30*Inputs!$B$3))</f>
        <v>402.4</v>
      </c>
      <c r="H30" s="18" t="n">
        <f aca="false">C30*(1+IF(A30&gt;=Inputs!$C$5,Inputs!$C$4,0))*(1+Inputs!$C$2*MAX(E30,F30*Inputs!$C$3))</f>
        <v>402.4</v>
      </c>
      <c r="I30" s="18" t="n">
        <f aca="false">C30*(1+IF(A30&gt;=Inputs!$D$5,Inputs!$D$4,0))*(1+Inputs!$D$2*MAX(E30,F30*Inputs!$D$3))</f>
        <v>402.4</v>
      </c>
    </row>
    <row r="31" customFormat="false" ht="15" hidden="false" customHeight="false" outlineLevel="0" collapsed="false">
      <c r="A31" s="16" t="n">
        <v>45503</v>
      </c>
      <c r="B31" s="8" t="str">
        <f aca="false">TEXT(A31,"yyyy-mm")</f>
        <v>2024-07</v>
      </c>
      <c r="C31" s="17" t="n">
        <v>402.4</v>
      </c>
      <c r="D31" s="8"/>
      <c r="E31" s="8" t="n">
        <v>0</v>
      </c>
      <c r="F31" s="8" t="n">
        <v>0</v>
      </c>
      <c r="G31" s="18" t="n">
        <f aca="false">C31*(1+IF(A31&gt;=Inputs!$B$5,Inputs!$B$4,0))*(1+Inputs!$B$2*MAX(E31,F31*Inputs!$B$3))</f>
        <v>402.4</v>
      </c>
      <c r="H31" s="18" t="n">
        <f aca="false">C31*(1+IF(A31&gt;=Inputs!$C$5,Inputs!$C$4,0))*(1+Inputs!$C$2*MAX(E31,F31*Inputs!$C$3))</f>
        <v>402.4</v>
      </c>
      <c r="I31" s="18" t="n">
        <f aca="false">C31*(1+IF(A31&gt;=Inputs!$D$5,Inputs!$D$4,0))*(1+Inputs!$D$2*MAX(E31,F31*Inputs!$D$3))</f>
        <v>402.4</v>
      </c>
    </row>
    <row r="32" customFormat="false" ht="15" hidden="false" customHeight="false" outlineLevel="0" collapsed="false">
      <c r="A32" s="16" t="n">
        <v>45504</v>
      </c>
      <c r="B32" s="8" t="str">
        <f aca="false">TEXT(A32,"yyyy-mm")</f>
        <v>2024-07</v>
      </c>
      <c r="C32" s="17" t="n">
        <v>402.4</v>
      </c>
      <c r="D32" s="8"/>
      <c r="E32" s="8" t="n">
        <v>0</v>
      </c>
      <c r="F32" s="8" t="n">
        <v>0</v>
      </c>
      <c r="G32" s="18" t="n">
        <f aca="false">C32*(1+IF(A32&gt;=Inputs!$B$5,Inputs!$B$4,0))*(1+Inputs!$B$2*MAX(E32,F32*Inputs!$B$3))</f>
        <v>402.4</v>
      </c>
      <c r="H32" s="18" t="n">
        <f aca="false">C32*(1+IF(A32&gt;=Inputs!$C$5,Inputs!$C$4,0))*(1+Inputs!$C$2*MAX(E32,F32*Inputs!$C$3))</f>
        <v>402.4</v>
      </c>
      <c r="I32" s="18" t="n">
        <f aca="false">C32*(1+IF(A32&gt;=Inputs!$D$5,Inputs!$D$4,0))*(1+Inputs!$D$2*MAX(E32,F32*Inputs!$D$3))</f>
        <v>402.4</v>
      </c>
    </row>
    <row r="33" customFormat="false" ht="15" hidden="false" customHeight="false" outlineLevel="0" collapsed="false">
      <c r="A33" s="16" t="n">
        <v>45505</v>
      </c>
      <c r="B33" s="8" t="str">
        <f aca="false">TEXT(A33,"yyyy-mm")</f>
        <v>2024-08</v>
      </c>
      <c r="C33" s="17" t="n">
        <v>402.4</v>
      </c>
      <c r="D33" s="8"/>
      <c r="E33" s="8" t="n">
        <v>0</v>
      </c>
      <c r="F33" s="8" t="n">
        <v>0</v>
      </c>
      <c r="G33" s="18" t="n">
        <f aca="false">C33*(1+IF(A33&gt;=Inputs!$B$5,Inputs!$B$4,0))*(1+Inputs!$B$2*MAX(E33,F33*Inputs!$B$3))</f>
        <v>402.4</v>
      </c>
      <c r="H33" s="18" t="n">
        <f aca="false">C33*(1+IF(A33&gt;=Inputs!$C$5,Inputs!$C$4,0))*(1+Inputs!$C$2*MAX(E33,F33*Inputs!$C$3))</f>
        <v>402.4</v>
      </c>
      <c r="I33" s="18" t="n">
        <f aca="false">C33*(1+IF(A33&gt;=Inputs!$D$5,Inputs!$D$4,0))*(1+Inputs!$D$2*MAX(E33,F33*Inputs!$D$3))</f>
        <v>402.4</v>
      </c>
    </row>
    <row r="34" customFormat="false" ht="15" hidden="false" customHeight="false" outlineLevel="0" collapsed="false">
      <c r="A34" s="16" t="n">
        <v>45506</v>
      </c>
      <c r="B34" s="8" t="str">
        <f aca="false">TEXT(A34,"yyyy-mm")</f>
        <v>2024-08</v>
      </c>
      <c r="C34" s="17" t="n">
        <v>402.4</v>
      </c>
      <c r="D34" s="8"/>
      <c r="E34" s="8" t="n">
        <v>0</v>
      </c>
      <c r="F34" s="8" t="n">
        <v>1</v>
      </c>
      <c r="G34" s="18" t="n">
        <f aca="false">C34*(1+IF(A34&gt;=Inputs!$B$5,Inputs!$B$4,0))*(1+Inputs!$B$2*MAX(E34,F34*Inputs!$B$3))</f>
        <v>402.4</v>
      </c>
      <c r="H34" s="18" t="n">
        <f aca="false">C34*(1+IF(A34&gt;=Inputs!$C$5,Inputs!$C$4,0))*(1+Inputs!$C$2*MAX(E34,F34*Inputs!$C$3))</f>
        <v>603.6</v>
      </c>
      <c r="I34" s="18" t="n">
        <f aca="false">C34*(1+IF(A34&gt;=Inputs!$D$5,Inputs!$D$4,0))*(1+Inputs!$D$2*MAX(E34,F34*Inputs!$D$3))</f>
        <v>402.4</v>
      </c>
    </row>
    <row r="35" customFormat="false" ht="15" hidden="false" customHeight="false" outlineLevel="0" collapsed="false">
      <c r="A35" s="16" t="n">
        <v>45507</v>
      </c>
      <c r="B35" s="8" t="str">
        <f aca="false">TEXT(A35,"yyyy-mm")</f>
        <v>2024-08</v>
      </c>
      <c r="C35" s="17" t="n">
        <v>402.4</v>
      </c>
      <c r="D35" s="8"/>
      <c r="E35" s="8" t="n">
        <v>0</v>
      </c>
      <c r="F35" s="8" t="n">
        <v>1</v>
      </c>
      <c r="G35" s="18" t="n">
        <f aca="false">C35*(1+IF(A35&gt;=Inputs!$B$5,Inputs!$B$4,0))*(1+Inputs!$B$2*MAX(E35,F35*Inputs!$B$3))</f>
        <v>402.4</v>
      </c>
      <c r="H35" s="18" t="n">
        <f aca="false">C35*(1+IF(A35&gt;=Inputs!$C$5,Inputs!$C$4,0))*(1+Inputs!$C$2*MAX(E35,F35*Inputs!$C$3))</f>
        <v>603.6</v>
      </c>
      <c r="I35" s="18" t="n">
        <f aca="false">C35*(1+IF(A35&gt;=Inputs!$D$5,Inputs!$D$4,0))*(1+Inputs!$D$2*MAX(E35,F35*Inputs!$D$3))</f>
        <v>402.4</v>
      </c>
    </row>
    <row r="36" customFormat="false" ht="15" hidden="false" customHeight="false" outlineLevel="0" collapsed="false">
      <c r="A36" s="16" t="n">
        <v>45508</v>
      </c>
      <c r="B36" s="8" t="str">
        <f aca="false">TEXT(A36,"yyyy-mm")</f>
        <v>2024-08</v>
      </c>
      <c r="C36" s="17" t="n">
        <v>402.4</v>
      </c>
      <c r="D36" s="8"/>
      <c r="E36" s="8" t="n">
        <v>0</v>
      </c>
      <c r="F36" s="8" t="n">
        <v>0</v>
      </c>
      <c r="G36" s="18" t="n">
        <f aca="false">C36*(1+IF(A36&gt;=Inputs!$B$5,Inputs!$B$4,0))*(1+Inputs!$B$2*MAX(E36,F36*Inputs!$B$3))</f>
        <v>402.4</v>
      </c>
      <c r="H36" s="18" t="n">
        <f aca="false">C36*(1+IF(A36&gt;=Inputs!$C$5,Inputs!$C$4,0))*(1+Inputs!$C$2*MAX(E36,F36*Inputs!$C$3))</f>
        <v>402.4</v>
      </c>
      <c r="I36" s="18" t="n">
        <f aca="false">C36*(1+IF(A36&gt;=Inputs!$D$5,Inputs!$D$4,0))*(1+Inputs!$D$2*MAX(E36,F36*Inputs!$D$3))</f>
        <v>402.4</v>
      </c>
    </row>
    <row r="37" customFormat="false" ht="15" hidden="false" customHeight="false" outlineLevel="0" collapsed="false">
      <c r="A37" s="16" t="n">
        <v>45509</v>
      </c>
      <c r="B37" s="8" t="str">
        <f aca="false">TEXT(A37,"yyyy-mm")</f>
        <v>2024-08</v>
      </c>
      <c r="C37" s="17" t="n">
        <v>402.4</v>
      </c>
      <c r="D37" s="8"/>
      <c r="E37" s="8" t="n">
        <v>0</v>
      </c>
      <c r="F37" s="8" t="n">
        <v>0</v>
      </c>
      <c r="G37" s="18" t="n">
        <f aca="false">C37*(1+IF(A37&gt;=Inputs!$B$5,Inputs!$B$4,0))*(1+Inputs!$B$2*MAX(E37,F37*Inputs!$B$3))</f>
        <v>402.4</v>
      </c>
      <c r="H37" s="18" t="n">
        <f aca="false">C37*(1+IF(A37&gt;=Inputs!$C$5,Inputs!$C$4,0))*(1+Inputs!$C$2*MAX(E37,F37*Inputs!$C$3))</f>
        <v>402.4</v>
      </c>
      <c r="I37" s="18" t="n">
        <f aca="false">C37*(1+IF(A37&gt;=Inputs!$D$5,Inputs!$D$4,0))*(1+Inputs!$D$2*MAX(E37,F37*Inputs!$D$3))</f>
        <v>402.4</v>
      </c>
    </row>
    <row r="38" customFormat="false" ht="15" hidden="false" customHeight="false" outlineLevel="0" collapsed="false">
      <c r="A38" s="16" t="n">
        <v>45510</v>
      </c>
      <c r="B38" s="8" t="str">
        <f aca="false">TEXT(A38,"yyyy-mm")</f>
        <v>2024-08</v>
      </c>
      <c r="C38" s="17" t="n">
        <v>402.4</v>
      </c>
      <c r="D38" s="8"/>
      <c r="E38" s="8" t="n">
        <v>0</v>
      </c>
      <c r="F38" s="8" t="n">
        <v>0</v>
      </c>
      <c r="G38" s="18" t="n">
        <f aca="false">C38*(1+IF(A38&gt;=Inputs!$B$5,Inputs!$B$4,0))*(1+Inputs!$B$2*MAX(E38,F38*Inputs!$B$3))</f>
        <v>402.4</v>
      </c>
      <c r="H38" s="18" t="n">
        <f aca="false">C38*(1+IF(A38&gt;=Inputs!$C$5,Inputs!$C$4,0))*(1+Inputs!$C$2*MAX(E38,F38*Inputs!$C$3))</f>
        <v>402.4</v>
      </c>
      <c r="I38" s="18" t="n">
        <f aca="false">C38*(1+IF(A38&gt;=Inputs!$D$5,Inputs!$D$4,0))*(1+Inputs!$D$2*MAX(E38,F38*Inputs!$D$3))</f>
        <v>402.4</v>
      </c>
    </row>
    <row r="39" customFormat="false" ht="15" hidden="false" customHeight="false" outlineLevel="0" collapsed="false">
      <c r="A39" s="16" t="n">
        <v>45511</v>
      </c>
      <c r="B39" s="8" t="str">
        <f aca="false">TEXT(A39,"yyyy-mm")</f>
        <v>2024-08</v>
      </c>
      <c r="C39" s="17" t="n">
        <v>402.4</v>
      </c>
      <c r="D39" s="8"/>
      <c r="E39" s="8" t="n">
        <v>0</v>
      </c>
      <c r="F39" s="8" t="n">
        <v>0</v>
      </c>
      <c r="G39" s="18" t="n">
        <f aca="false">C39*(1+IF(A39&gt;=Inputs!$B$5,Inputs!$B$4,0))*(1+Inputs!$B$2*MAX(E39,F39*Inputs!$B$3))</f>
        <v>402.4</v>
      </c>
      <c r="H39" s="18" t="n">
        <f aca="false">C39*(1+IF(A39&gt;=Inputs!$C$5,Inputs!$C$4,0))*(1+Inputs!$C$2*MAX(E39,F39*Inputs!$C$3))</f>
        <v>402.4</v>
      </c>
      <c r="I39" s="18" t="n">
        <f aca="false">C39*(1+IF(A39&gt;=Inputs!$D$5,Inputs!$D$4,0))*(1+Inputs!$D$2*MAX(E39,F39*Inputs!$D$3))</f>
        <v>402.4</v>
      </c>
    </row>
    <row r="40" customFormat="false" ht="15" hidden="false" customHeight="false" outlineLevel="0" collapsed="false">
      <c r="A40" s="16" t="n">
        <v>45512</v>
      </c>
      <c r="B40" s="8" t="str">
        <f aca="false">TEXT(A40,"yyyy-mm")</f>
        <v>2024-08</v>
      </c>
      <c r="C40" s="17" t="n">
        <v>402.4</v>
      </c>
      <c r="D40" s="8"/>
      <c r="E40" s="8" t="n">
        <v>0</v>
      </c>
      <c r="F40" s="8" t="n">
        <v>0</v>
      </c>
      <c r="G40" s="18" t="n">
        <f aca="false">C40*(1+IF(A40&gt;=Inputs!$B$5,Inputs!$B$4,0))*(1+Inputs!$B$2*MAX(E40,F40*Inputs!$B$3))</f>
        <v>402.4</v>
      </c>
      <c r="H40" s="18" t="n">
        <f aca="false">C40*(1+IF(A40&gt;=Inputs!$C$5,Inputs!$C$4,0))*(1+Inputs!$C$2*MAX(E40,F40*Inputs!$C$3))</f>
        <v>402.4</v>
      </c>
      <c r="I40" s="18" t="n">
        <f aca="false">C40*(1+IF(A40&gt;=Inputs!$D$5,Inputs!$D$4,0))*(1+Inputs!$D$2*MAX(E40,F40*Inputs!$D$3))</f>
        <v>402.4</v>
      </c>
    </row>
    <row r="41" customFormat="false" ht="15" hidden="false" customHeight="false" outlineLevel="0" collapsed="false">
      <c r="A41" s="16" t="n">
        <v>45513</v>
      </c>
      <c r="B41" s="8" t="str">
        <f aca="false">TEXT(A41,"yyyy-mm")</f>
        <v>2024-08</v>
      </c>
      <c r="C41" s="17" t="n">
        <v>402.4</v>
      </c>
      <c r="D41" s="8"/>
      <c r="E41" s="8" t="n">
        <v>0</v>
      </c>
      <c r="F41" s="8" t="n">
        <v>0</v>
      </c>
      <c r="G41" s="18" t="n">
        <f aca="false">C41*(1+IF(A41&gt;=Inputs!$B$5,Inputs!$B$4,0))*(1+Inputs!$B$2*MAX(E41,F41*Inputs!$B$3))</f>
        <v>402.4</v>
      </c>
      <c r="H41" s="18" t="n">
        <f aca="false">C41*(1+IF(A41&gt;=Inputs!$C$5,Inputs!$C$4,0))*(1+Inputs!$C$2*MAX(E41,F41*Inputs!$C$3))</f>
        <v>402.4</v>
      </c>
      <c r="I41" s="18" t="n">
        <f aca="false">C41*(1+IF(A41&gt;=Inputs!$D$5,Inputs!$D$4,0))*(1+Inputs!$D$2*MAX(E41,F41*Inputs!$D$3))</f>
        <v>402.4</v>
      </c>
    </row>
    <row r="42" customFormat="false" ht="15" hidden="false" customHeight="false" outlineLevel="0" collapsed="false">
      <c r="A42" s="16" t="n">
        <v>45514</v>
      </c>
      <c r="B42" s="8" t="str">
        <f aca="false">TEXT(A42,"yyyy-mm")</f>
        <v>2024-08</v>
      </c>
      <c r="C42" s="17" t="n">
        <v>402.4</v>
      </c>
      <c r="D42" s="8"/>
      <c r="E42" s="8" t="n">
        <v>0</v>
      </c>
      <c r="F42" s="8" t="n">
        <v>0</v>
      </c>
      <c r="G42" s="18" t="n">
        <f aca="false">C42*(1+IF(A42&gt;=Inputs!$B$5,Inputs!$B$4,0))*(1+Inputs!$B$2*MAX(E42,F42*Inputs!$B$3))</f>
        <v>402.4</v>
      </c>
      <c r="H42" s="18" t="n">
        <f aca="false">C42*(1+IF(A42&gt;=Inputs!$C$5,Inputs!$C$4,0))*(1+Inputs!$C$2*MAX(E42,F42*Inputs!$C$3))</f>
        <v>402.4</v>
      </c>
      <c r="I42" s="18" t="n">
        <f aca="false">C42*(1+IF(A42&gt;=Inputs!$D$5,Inputs!$D$4,0))*(1+Inputs!$D$2*MAX(E42,F42*Inputs!$D$3))</f>
        <v>402.4</v>
      </c>
    </row>
    <row r="43" customFormat="false" ht="15" hidden="false" customHeight="false" outlineLevel="0" collapsed="false">
      <c r="A43" s="16" t="n">
        <v>45515</v>
      </c>
      <c r="B43" s="8" t="str">
        <f aca="false">TEXT(A43,"yyyy-mm")</f>
        <v>2024-08</v>
      </c>
      <c r="C43" s="17" t="n">
        <v>402.4</v>
      </c>
      <c r="D43" s="8"/>
      <c r="E43" s="8" t="n">
        <v>0</v>
      </c>
      <c r="F43" s="8" t="n">
        <v>0</v>
      </c>
      <c r="G43" s="18" t="n">
        <f aca="false">C43*(1+IF(A43&gt;=Inputs!$B$5,Inputs!$B$4,0))*(1+Inputs!$B$2*MAX(E43,F43*Inputs!$B$3))</f>
        <v>402.4</v>
      </c>
      <c r="H43" s="18" t="n">
        <f aca="false">C43*(1+IF(A43&gt;=Inputs!$C$5,Inputs!$C$4,0))*(1+Inputs!$C$2*MAX(E43,F43*Inputs!$C$3))</f>
        <v>402.4</v>
      </c>
      <c r="I43" s="18" t="n">
        <f aca="false">C43*(1+IF(A43&gt;=Inputs!$D$5,Inputs!$D$4,0))*(1+Inputs!$D$2*MAX(E43,F43*Inputs!$D$3))</f>
        <v>402.4</v>
      </c>
    </row>
    <row r="44" customFormat="false" ht="15" hidden="false" customHeight="false" outlineLevel="0" collapsed="false">
      <c r="A44" s="16" t="n">
        <v>45516</v>
      </c>
      <c r="B44" s="8" t="str">
        <f aca="false">TEXT(A44,"yyyy-mm")</f>
        <v>2024-08</v>
      </c>
      <c r="C44" s="17" t="n">
        <v>402.4</v>
      </c>
      <c r="D44" s="8"/>
      <c r="E44" s="8" t="n">
        <v>0</v>
      </c>
      <c r="F44" s="8" t="n">
        <v>0</v>
      </c>
      <c r="G44" s="18" t="n">
        <f aca="false">C44*(1+IF(A44&gt;=Inputs!$B$5,Inputs!$B$4,0))*(1+Inputs!$B$2*MAX(E44,F44*Inputs!$B$3))</f>
        <v>402.4</v>
      </c>
      <c r="H44" s="18" t="n">
        <f aca="false">C44*(1+IF(A44&gt;=Inputs!$C$5,Inputs!$C$4,0))*(1+Inputs!$C$2*MAX(E44,F44*Inputs!$C$3))</f>
        <v>402.4</v>
      </c>
      <c r="I44" s="18" t="n">
        <f aca="false">C44*(1+IF(A44&gt;=Inputs!$D$5,Inputs!$D$4,0))*(1+Inputs!$D$2*MAX(E44,F44*Inputs!$D$3))</f>
        <v>402.4</v>
      </c>
    </row>
    <row r="45" customFormat="false" ht="15" hidden="false" customHeight="false" outlineLevel="0" collapsed="false">
      <c r="A45" s="16" t="n">
        <v>45517</v>
      </c>
      <c r="B45" s="8" t="str">
        <f aca="false">TEXT(A45,"yyyy-mm")</f>
        <v>2024-08</v>
      </c>
      <c r="C45" s="17" t="n">
        <v>402.4</v>
      </c>
      <c r="D45" s="8"/>
      <c r="E45" s="8" t="n">
        <v>0</v>
      </c>
      <c r="F45" s="8" t="n">
        <v>0</v>
      </c>
      <c r="G45" s="18" t="n">
        <f aca="false">C45*(1+IF(A45&gt;=Inputs!$B$5,Inputs!$B$4,0))*(1+Inputs!$B$2*MAX(E45,F45*Inputs!$B$3))</f>
        <v>402.4</v>
      </c>
      <c r="H45" s="18" t="n">
        <f aca="false">C45*(1+IF(A45&gt;=Inputs!$C$5,Inputs!$C$4,0))*(1+Inputs!$C$2*MAX(E45,F45*Inputs!$C$3))</f>
        <v>402.4</v>
      </c>
      <c r="I45" s="18" t="n">
        <f aca="false">C45*(1+IF(A45&gt;=Inputs!$D$5,Inputs!$D$4,0))*(1+Inputs!$D$2*MAX(E45,F45*Inputs!$D$3))</f>
        <v>402.4</v>
      </c>
    </row>
    <row r="46" customFormat="false" ht="15" hidden="false" customHeight="false" outlineLevel="0" collapsed="false">
      <c r="A46" s="16" t="n">
        <v>45518</v>
      </c>
      <c r="B46" s="8" t="str">
        <f aca="false">TEXT(A46,"yyyy-mm")</f>
        <v>2024-08</v>
      </c>
      <c r="C46" s="17" t="n">
        <v>402.4</v>
      </c>
      <c r="D46" s="8"/>
      <c r="E46" s="8" t="n">
        <v>0</v>
      </c>
      <c r="F46" s="8" t="n">
        <v>0</v>
      </c>
      <c r="G46" s="18" t="n">
        <f aca="false">C46*(1+IF(A46&gt;=Inputs!$B$5,Inputs!$B$4,0))*(1+Inputs!$B$2*MAX(E46,F46*Inputs!$B$3))</f>
        <v>402.4</v>
      </c>
      <c r="H46" s="18" t="n">
        <f aca="false">C46*(1+IF(A46&gt;=Inputs!$C$5,Inputs!$C$4,0))*(1+Inputs!$C$2*MAX(E46,F46*Inputs!$C$3))</f>
        <v>402.4</v>
      </c>
      <c r="I46" s="18" t="n">
        <f aca="false">C46*(1+IF(A46&gt;=Inputs!$D$5,Inputs!$D$4,0))*(1+Inputs!$D$2*MAX(E46,F46*Inputs!$D$3))</f>
        <v>402.4</v>
      </c>
    </row>
    <row r="47" customFormat="false" ht="15" hidden="false" customHeight="false" outlineLevel="0" collapsed="false">
      <c r="A47" s="16" t="n">
        <v>45519</v>
      </c>
      <c r="B47" s="8" t="str">
        <f aca="false">TEXT(A47,"yyyy-mm")</f>
        <v>2024-08</v>
      </c>
      <c r="C47" s="17" t="n">
        <v>402.4</v>
      </c>
      <c r="D47" s="8"/>
      <c r="E47" s="8" t="n">
        <v>0</v>
      </c>
      <c r="F47" s="8" t="n">
        <v>0</v>
      </c>
      <c r="G47" s="18" t="n">
        <f aca="false">C47*(1+IF(A47&gt;=Inputs!$B$5,Inputs!$B$4,0))*(1+Inputs!$B$2*MAX(E47,F47*Inputs!$B$3))</f>
        <v>402.4</v>
      </c>
      <c r="H47" s="18" t="n">
        <f aca="false">C47*(1+IF(A47&gt;=Inputs!$C$5,Inputs!$C$4,0))*(1+Inputs!$C$2*MAX(E47,F47*Inputs!$C$3))</f>
        <v>402.4</v>
      </c>
      <c r="I47" s="18" t="n">
        <f aca="false">C47*(1+IF(A47&gt;=Inputs!$D$5,Inputs!$D$4,0))*(1+Inputs!$D$2*MAX(E47,F47*Inputs!$D$3))</f>
        <v>402.4</v>
      </c>
    </row>
    <row r="48" customFormat="false" ht="15" hidden="false" customHeight="false" outlineLevel="0" collapsed="false">
      <c r="A48" s="16" t="n">
        <v>45520</v>
      </c>
      <c r="B48" s="8" t="str">
        <f aca="false">TEXT(A48,"yyyy-mm")</f>
        <v>2024-08</v>
      </c>
      <c r="C48" s="17" t="n">
        <v>402.4</v>
      </c>
      <c r="D48" s="8"/>
      <c r="E48" s="8" t="n">
        <v>0</v>
      </c>
      <c r="F48" s="8" t="n">
        <v>0</v>
      </c>
      <c r="G48" s="18" t="n">
        <f aca="false">C48*(1+IF(A48&gt;=Inputs!$B$5,Inputs!$B$4,0))*(1+Inputs!$B$2*MAX(E48,F48*Inputs!$B$3))</f>
        <v>402.4</v>
      </c>
      <c r="H48" s="18" t="n">
        <f aca="false">C48*(1+IF(A48&gt;=Inputs!$C$5,Inputs!$C$4,0))*(1+Inputs!$C$2*MAX(E48,F48*Inputs!$C$3))</f>
        <v>402.4</v>
      </c>
      <c r="I48" s="18" t="n">
        <f aca="false">C48*(1+IF(A48&gt;=Inputs!$D$5,Inputs!$D$4,0))*(1+Inputs!$D$2*MAX(E48,F48*Inputs!$D$3))</f>
        <v>402.4</v>
      </c>
    </row>
    <row r="49" customFormat="false" ht="15" hidden="false" customHeight="false" outlineLevel="0" collapsed="false">
      <c r="A49" s="16" t="n">
        <v>45521</v>
      </c>
      <c r="B49" s="8" t="str">
        <f aca="false">TEXT(A49,"yyyy-mm")</f>
        <v>2024-08</v>
      </c>
      <c r="C49" s="17" t="n">
        <v>402.4</v>
      </c>
      <c r="D49" s="8"/>
      <c r="E49" s="8" t="n">
        <v>0</v>
      </c>
      <c r="F49" s="8" t="n">
        <v>0</v>
      </c>
      <c r="G49" s="18" t="n">
        <f aca="false">C49*(1+IF(A49&gt;=Inputs!$B$5,Inputs!$B$4,0))*(1+Inputs!$B$2*MAX(E49,F49*Inputs!$B$3))</f>
        <v>402.4</v>
      </c>
      <c r="H49" s="18" t="n">
        <f aca="false">C49*(1+IF(A49&gt;=Inputs!$C$5,Inputs!$C$4,0))*(1+Inputs!$C$2*MAX(E49,F49*Inputs!$C$3))</f>
        <v>402.4</v>
      </c>
      <c r="I49" s="18" t="n">
        <f aca="false">C49*(1+IF(A49&gt;=Inputs!$D$5,Inputs!$D$4,0))*(1+Inputs!$D$2*MAX(E49,F49*Inputs!$D$3))</f>
        <v>402.4</v>
      </c>
    </row>
    <row r="50" customFormat="false" ht="15" hidden="false" customHeight="false" outlineLevel="0" collapsed="false">
      <c r="A50" s="16" t="n">
        <v>45522</v>
      </c>
      <c r="B50" s="8" t="str">
        <f aca="false">TEXT(A50,"yyyy-mm")</f>
        <v>2024-08</v>
      </c>
      <c r="C50" s="17" t="n">
        <v>402.4</v>
      </c>
      <c r="D50" s="8"/>
      <c r="E50" s="8" t="n">
        <v>0</v>
      </c>
      <c r="F50" s="8" t="n">
        <v>0</v>
      </c>
      <c r="G50" s="18" t="n">
        <f aca="false">C50*(1+IF(A50&gt;=Inputs!$B$5,Inputs!$B$4,0))*(1+Inputs!$B$2*MAX(E50,F50*Inputs!$B$3))</f>
        <v>402.4</v>
      </c>
      <c r="H50" s="18" t="n">
        <f aca="false">C50*(1+IF(A50&gt;=Inputs!$C$5,Inputs!$C$4,0))*(1+Inputs!$C$2*MAX(E50,F50*Inputs!$C$3))</f>
        <v>402.4</v>
      </c>
      <c r="I50" s="18" t="n">
        <f aca="false">C50*(1+IF(A50&gt;=Inputs!$D$5,Inputs!$D$4,0))*(1+Inputs!$D$2*MAX(E50,F50*Inputs!$D$3))</f>
        <v>402.4</v>
      </c>
    </row>
    <row r="51" customFormat="false" ht="15" hidden="false" customHeight="false" outlineLevel="0" collapsed="false">
      <c r="A51" s="16" t="n">
        <v>45523</v>
      </c>
      <c r="B51" s="8" t="str">
        <f aca="false">TEXT(A51,"yyyy-mm")</f>
        <v>2024-08</v>
      </c>
      <c r="C51" s="17" t="n">
        <v>402.4</v>
      </c>
      <c r="D51" s="8"/>
      <c r="E51" s="8" t="n">
        <v>0</v>
      </c>
      <c r="F51" s="8" t="n">
        <v>0</v>
      </c>
      <c r="G51" s="18" t="n">
        <f aca="false">C51*(1+IF(A51&gt;=Inputs!$B$5,Inputs!$B$4,0))*(1+Inputs!$B$2*MAX(E51,F51*Inputs!$B$3))</f>
        <v>402.4</v>
      </c>
      <c r="H51" s="18" t="n">
        <f aca="false">C51*(1+IF(A51&gt;=Inputs!$C$5,Inputs!$C$4,0))*(1+Inputs!$C$2*MAX(E51,F51*Inputs!$C$3))</f>
        <v>402.4</v>
      </c>
      <c r="I51" s="18" t="n">
        <f aca="false">C51*(1+IF(A51&gt;=Inputs!$D$5,Inputs!$D$4,0))*(1+Inputs!$D$2*MAX(E51,F51*Inputs!$D$3))</f>
        <v>402.4</v>
      </c>
    </row>
    <row r="52" customFormat="false" ht="15" hidden="false" customHeight="false" outlineLevel="0" collapsed="false">
      <c r="A52" s="16" t="n">
        <v>45524</v>
      </c>
      <c r="B52" s="8" t="str">
        <f aca="false">TEXT(A52,"yyyy-mm")</f>
        <v>2024-08</v>
      </c>
      <c r="C52" s="17" t="n">
        <v>402.4</v>
      </c>
      <c r="D52" s="8"/>
      <c r="E52" s="8" t="n">
        <v>0</v>
      </c>
      <c r="F52" s="8" t="n">
        <v>0</v>
      </c>
      <c r="G52" s="18" t="n">
        <f aca="false">C52*(1+IF(A52&gt;=Inputs!$B$5,Inputs!$B$4,0))*(1+Inputs!$B$2*MAX(E52,F52*Inputs!$B$3))</f>
        <v>402.4</v>
      </c>
      <c r="H52" s="18" t="n">
        <f aca="false">C52*(1+IF(A52&gt;=Inputs!$C$5,Inputs!$C$4,0))*(1+Inputs!$C$2*MAX(E52,F52*Inputs!$C$3))</f>
        <v>402.4</v>
      </c>
      <c r="I52" s="18" t="n">
        <f aca="false">C52*(1+IF(A52&gt;=Inputs!$D$5,Inputs!$D$4,0))*(1+Inputs!$D$2*MAX(E52,F52*Inputs!$D$3))</f>
        <v>402.4</v>
      </c>
    </row>
    <row r="53" customFormat="false" ht="15" hidden="false" customHeight="false" outlineLevel="0" collapsed="false">
      <c r="A53" s="16" t="n">
        <v>45525</v>
      </c>
      <c r="B53" s="8" t="str">
        <f aca="false">TEXT(A53,"yyyy-mm")</f>
        <v>2024-08</v>
      </c>
      <c r="C53" s="17" t="n">
        <v>402.4</v>
      </c>
      <c r="D53" s="8"/>
      <c r="E53" s="8" t="n">
        <v>0</v>
      </c>
      <c r="F53" s="8" t="n">
        <v>0</v>
      </c>
      <c r="G53" s="18" t="n">
        <f aca="false">C53*(1+IF(A53&gt;=Inputs!$B$5,Inputs!$B$4,0))*(1+Inputs!$B$2*MAX(E53,F53*Inputs!$B$3))</f>
        <v>402.4</v>
      </c>
      <c r="H53" s="18" t="n">
        <f aca="false">C53*(1+IF(A53&gt;=Inputs!$C$5,Inputs!$C$4,0))*(1+Inputs!$C$2*MAX(E53,F53*Inputs!$C$3))</f>
        <v>402.4</v>
      </c>
      <c r="I53" s="18" t="n">
        <f aca="false">C53*(1+IF(A53&gt;=Inputs!$D$5,Inputs!$D$4,0))*(1+Inputs!$D$2*MAX(E53,F53*Inputs!$D$3))</f>
        <v>402.4</v>
      </c>
    </row>
    <row r="54" customFormat="false" ht="15" hidden="false" customHeight="false" outlineLevel="0" collapsed="false">
      <c r="A54" s="16" t="n">
        <v>45526</v>
      </c>
      <c r="B54" s="8" t="str">
        <f aca="false">TEXT(A54,"yyyy-mm")</f>
        <v>2024-08</v>
      </c>
      <c r="C54" s="17" t="n">
        <v>402.4</v>
      </c>
      <c r="D54" s="8"/>
      <c r="E54" s="8" t="n">
        <v>0</v>
      </c>
      <c r="F54" s="8" t="n">
        <v>0</v>
      </c>
      <c r="G54" s="18" t="n">
        <f aca="false">C54*(1+IF(A54&gt;=Inputs!$B$5,Inputs!$B$4,0))*(1+Inputs!$B$2*MAX(E54,F54*Inputs!$B$3))</f>
        <v>402.4</v>
      </c>
      <c r="H54" s="18" t="n">
        <f aca="false">C54*(1+IF(A54&gt;=Inputs!$C$5,Inputs!$C$4,0))*(1+Inputs!$C$2*MAX(E54,F54*Inputs!$C$3))</f>
        <v>402.4</v>
      </c>
      <c r="I54" s="18" t="n">
        <f aca="false">C54*(1+IF(A54&gt;=Inputs!$D$5,Inputs!$D$4,0))*(1+Inputs!$D$2*MAX(E54,F54*Inputs!$D$3))</f>
        <v>402.4</v>
      </c>
    </row>
    <row r="55" customFormat="false" ht="15" hidden="false" customHeight="false" outlineLevel="0" collapsed="false">
      <c r="A55" s="16" t="n">
        <v>45527</v>
      </c>
      <c r="B55" s="8" t="str">
        <f aca="false">TEXT(A55,"yyyy-mm")</f>
        <v>2024-08</v>
      </c>
      <c r="C55" s="17" t="n">
        <v>402.4</v>
      </c>
      <c r="D55" s="8"/>
      <c r="E55" s="8" t="n">
        <v>0</v>
      </c>
      <c r="F55" s="8" t="n">
        <v>0</v>
      </c>
      <c r="G55" s="18" t="n">
        <f aca="false">C55*(1+IF(A55&gt;=Inputs!$B$5,Inputs!$B$4,0))*(1+Inputs!$B$2*MAX(E55,F55*Inputs!$B$3))</f>
        <v>402.4</v>
      </c>
      <c r="H55" s="18" t="n">
        <f aca="false">C55*(1+IF(A55&gt;=Inputs!$C$5,Inputs!$C$4,0))*(1+Inputs!$C$2*MAX(E55,F55*Inputs!$C$3))</f>
        <v>402.4</v>
      </c>
      <c r="I55" s="18" t="n">
        <f aca="false">C55*(1+IF(A55&gt;=Inputs!$D$5,Inputs!$D$4,0))*(1+Inputs!$D$2*MAX(E55,F55*Inputs!$D$3))</f>
        <v>402.4</v>
      </c>
    </row>
    <row r="56" customFormat="false" ht="15" hidden="false" customHeight="false" outlineLevel="0" collapsed="false">
      <c r="A56" s="16" t="n">
        <v>45528</v>
      </c>
      <c r="B56" s="8" t="str">
        <f aca="false">TEXT(A56,"yyyy-mm")</f>
        <v>2024-08</v>
      </c>
      <c r="C56" s="17" t="n">
        <v>402.4</v>
      </c>
      <c r="D56" s="8"/>
      <c r="E56" s="8" t="n">
        <v>0</v>
      </c>
      <c r="F56" s="8" t="n">
        <v>0</v>
      </c>
      <c r="G56" s="18" t="n">
        <f aca="false">C56*(1+IF(A56&gt;=Inputs!$B$5,Inputs!$B$4,0))*(1+Inputs!$B$2*MAX(E56,F56*Inputs!$B$3))</f>
        <v>402.4</v>
      </c>
      <c r="H56" s="18" t="n">
        <f aca="false">C56*(1+IF(A56&gt;=Inputs!$C$5,Inputs!$C$4,0))*(1+Inputs!$C$2*MAX(E56,F56*Inputs!$C$3))</f>
        <v>402.4</v>
      </c>
      <c r="I56" s="18" t="n">
        <f aca="false">C56*(1+IF(A56&gt;=Inputs!$D$5,Inputs!$D$4,0))*(1+Inputs!$D$2*MAX(E56,F56*Inputs!$D$3))</f>
        <v>402.4</v>
      </c>
    </row>
    <row r="57" customFormat="false" ht="15" hidden="false" customHeight="false" outlineLevel="0" collapsed="false">
      <c r="A57" s="16" t="n">
        <v>45529</v>
      </c>
      <c r="B57" s="8" t="str">
        <f aca="false">TEXT(A57,"yyyy-mm")</f>
        <v>2024-08</v>
      </c>
      <c r="C57" s="17" t="n">
        <v>402.4</v>
      </c>
      <c r="D57" s="8"/>
      <c r="E57" s="8" t="n">
        <v>0</v>
      </c>
      <c r="F57" s="8" t="n">
        <v>0</v>
      </c>
      <c r="G57" s="18" t="n">
        <f aca="false">C57*(1+IF(A57&gt;=Inputs!$B$5,Inputs!$B$4,0))*(1+Inputs!$B$2*MAX(E57,F57*Inputs!$B$3))</f>
        <v>402.4</v>
      </c>
      <c r="H57" s="18" t="n">
        <f aca="false">C57*(1+IF(A57&gt;=Inputs!$C$5,Inputs!$C$4,0))*(1+Inputs!$C$2*MAX(E57,F57*Inputs!$C$3))</f>
        <v>402.4</v>
      </c>
      <c r="I57" s="18" t="n">
        <f aca="false">C57*(1+IF(A57&gt;=Inputs!$D$5,Inputs!$D$4,0))*(1+Inputs!$D$2*MAX(E57,F57*Inputs!$D$3))</f>
        <v>402.4</v>
      </c>
    </row>
    <row r="58" customFormat="false" ht="15" hidden="false" customHeight="false" outlineLevel="0" collapsed="false">
      <c r="A58" s="16" t="n">
        <v>45530</v>
      </c>
      <c r="B58" s="8" t="str">
        <f aca="false">TEXT(A58,"yyyy-mm")</f>
        <v>2024-08</v>
      </c>
      <c r="C58" s="17" t="n">
        <v>402.4</v>
      </c>
      <c r="D58" s="8"/>
      <c r="E58" s="8" t="n">
        <v>0</v>
      </c>
      <c r="F58" s="8" t="n">
        <v>0</v>
      </c>
      <c r="G58" s="18" t="n">
        <f aca="false">C58*(1+IF(A58&gt;=Inputs!$B$5,Inputs!$B$4,0))*(1+Inputs!$B$2*MAX(E58,F58*Inputs!$B$3))</f>
        <v>402.4</v>
      </c>
      <c r="H58" s="18" t="n">
        <f aca="false">C58*(1+IF(A58&gt;=Inputs!$C$5,Inputs!$C$4,0))*(1+Inputs!$C$2*MAX(E58,F58*Inputs!$C$3))</f>
        <v>402.4</v>
      </c>
      <c r="I58" s="18" t="n">
        <f aca="false">C58*(1+IF(A58&gt;=Inputs!$D$5,Inputs!$D$4,0))*(1+Inputs!$D$2*MAX(E58,F58*Inputs!$D$3))</f>
        <v>402.4</v>
      </c>
    </row>
    <row r="59" customFormat="false" ht="15" hidden="false" customHeight="false" outlineLevel="0" collapsed="false">
      <c r="A59" s="16" t="n">
        <v>45531</v>
      </c>
      <c r="B59" s="8" t="str">
        <f aca="false">TEXT(A59,"yyyy-mm")</f>
        <v>2024-08</v>
      </c>
      <c r="C59" s="17" t="n">
        <v>402.4</v>
      </c>
      <c r="D59" s="8"/>
      <c r="E59" s="8" t="n">
        <v>0</v>
      </c>
      <c r="F59" s="8" t="n">
        <v>0</v>
      </c>
      <c r="G59" s="18" t="n">
        <f aca="false">C59*(1+IF(A59&gt;=Inputs!$B$5,Inputs!$B$4,0))*(1+Inputs!$B$2*MAX(E59,F59*Inputs!$B$3))</f>
        <v>402.4</v>
      </c>
      <c r="H59" s="18" t="n">
        <f aca="false">C59*(1+IF(A59&gt;=Inputs!$C$5,Inputs!$C$4,0))*(1+Inputs!$C$2*MAX(E59,F59*Inputs!$C$3))</f>
        <v>402.4</v>
      </c>
      <c r="I59" s="18" t="n">
        <f aca="false">C59*(1+IF(A59&gt;=Inputs!$D$5,Inputs!$D$4,0))*(1+Inputs!$D$2*MAX(E59,F59*Inputs!$D$3))</f>
        <v>402.4</v>
      </c>
    </row>
    <row r="60" customFormat="false" ht="15" hidden="false" customHeight="false" outlineLevel="0" collapsed="false">
      <c r="A60" s="16" t="n">
        <v>45532</v>
      </c>
      <c r="B60" s="8" t="str">
        <f aca="false">TEXT(A60,"yyyy-mm")</f>
        <v>2024-08</v>
      </c>
      <c r="C60" s="17" t="n">
        <v>402.4</v>
      </c>
      <c r="D60" s="8"/>
      <c r="E60" s="8" t="n">
        <v>0</v>
      </c>
      <c r="F60" s="8" t="n">
        <v>0</v>
      </c>
      <c r="G60" s="18" t="n">
        <f aca="false">C60*(1+IF(A60&gt;=Inputs!$B$5,Inputs!$B$4,0))*(1+Inputs!$B$2*MAX(E60,F60*Inputs!$B$3))</f>
        <v>402.4</v>
      </c>
      <c r="H60" s="18" t="n">
        <f aca="false">C60*(1+IF(A60&gt;=Inputs!$C$5,Inputs!$C$4,0))*(1+Inputs!$C$2*MAX(E60,F60*Inputs!$C$3))</f>
        <v>402.4</v>
      </c>
      <c r="I60" s="18" t="n">
        <f aca="false">C60*(1+IF(A60&gt;=Inputs!$D$5,Inputs!$D$4,0))*(1+Inputs!$D$2*MAX(E60,F60*Inputs!$D$3))</f>
        <v>402.4</v>
      </c>
    </row>
    <row r="61" customFormat="false" ht="15" hidden="false" customHeight="false" outlineLevel="0" collapsed="false">
      <c r="A61" s="16" t="n">
        <v>45533</v>
      </c>
      <c r="B61" s="8" t="str">
        <f aca="false">TEXT(A61,"yyyy-mm")</f>
        <v>2024-08</v>
      </c>
      <c r="C61" s="17" t="n">
        <v>402.4</v>
      </c>
      <c r="D61" s="8"/>
      <c r="E61" s="8" t="n">
        <v>0</v>
      </c>
      <c r="F61" s="8" t="n">
        <v>0</v>
      </c>
      <c r="G61" s="18" t="n">
        <f aca="false">C61*(1+IF(A61&gt;=Inputs!$B$5,Inputs!$B$4,0))*(1+Inputs!$B$2*MAX(E61,F61*Inputs!$B$3))</f>
        <v>402.4</v>
      </c>
      <c r="H61" s="18" t="n">
        <f aca="false">C61*(1+IF(A61&gt;=Inputs!$C$5,Inputs!$C$4,0))*(1+Inputs!$C$2*MAX(E61,F61*Inputs!$C$3))</f>
        <v>402.4</v>
      </c>
      <c r="I61" s="18" t="n">
        <f aca="false">C61*(1+IF(A61&gt;=Inputs!$D$5,Inputs!$D$4,0))*(1+Inputs!$D$2*MAX(E61,F61*Inputs!$D$3))</f>
        <v>402.4</v>
      </c>
    </row>
    <row r="62" customFormat="false" ht="15" hidden="false" customHeight="false" outlineLevel="0" collapsed="false">
      <c r="A62" s="16" t="n">
        <v>45534</v>
      </c>
      <c r="B62" s="8" t="str">
        <f aca="false">TEXT(A62,"yyyy-mm")</f>
        <v>2024-08</v>
      </c>
      <c r="C62" s="17" t="n">
        <v>402.4</v>
      </c>
      <c r="D62" s="8"/>
      <c r="E62" s="8" t="n">
        <v>0</v>
      </c>
      <c r="F62" s="8" t="n">
        <v>0</v>
      </c>
      <c r="G62" s="18" t="n">
        <f aca="false">C62*(1+IF(A62&gt;=Inputs!$B$5,Inputs!$B$4,0))*(1+Inputs!$B$2*MAX(E62,F62*Inputs!$B$3))</f>
        <v>402.4</v>
      </c>
      <c r="H62" s="18" t="n">
        <f aca="false">C62*(1+IF(A62&gt;=Inputs!$C$5,Inputs!$C$4,0))*(1+Inputs!$C$2*MAX(E62,F62*Inputs!$C$3))</f>
        <v>402.4</v>
      </c>
      <c r="I62" s="18" t="n">
        <f aca="false">C62*(1+IF(A62&gt;=Inputs!$D$5,Inputs!$D$4,0))*(1+Inputs!$D$2*MAX(E62,F62*Inputs!$D$3))</f>
        <v>402.4</v>
      </c>
    </row>
    <row r="63" customFormat="false" ht="15" hidden="false" customHeight="false" outlineLevel="0" collapsed="false">
      <c r="A63" s="16" t="n">
        <v>45535</v>
      </c>
      <c r="B63" s="8" t="str">
        <f aca="false">TEXT(A63,"yyyy-mm")</f>
        <v>2024-08</v>
      </c>
      <c r="C63" s="17" t="n">
        <v>402.4</v>
      </c>
      <c r="D63" s="8"/>
      <c r="E63" s="8" t="n">
        <v>0</v>
      </c>
      <c r="F63" s="8" t="n">
        <v>0</v>
      </c>
      <c r="G63" s="18" t="n">
        <f aca="false">C63*(1+IF(A63&gt;=Inputs!$B$5,Inputs!$B$4,0))*(1+Inputs!$B$2*MAX(E63,F63*Inputs!$B$3))</f>
        <v>402.4</v>
      </c>
      <c r="H63" s="18" t="n">
        <f aca="false">C63*(1+IF(A63&gt;=Inputs!$C$5,Inputs!$C$4,0))*(1+Inputs!$C$2*MAX(E63,F63*Inputs!$C$3))</f>
        <v>402.4</v>
      </c>
      <c r="I63" s="18" t="n">
        <f aca="false">C63*(1+IF(A63&gt;=Inputs!$D$5,Inputs!$D$4,0))*(1+Inputs!$D$2*MAX(E63,F63*Inputs!$D$3))</f>
        <v>402.4</v>
      </c>
    </row>
    <row r="64" customFormat="false" ht="15" hidden="false" customHeight="false" outlineLevel="0" collapsed="false">
      <c r="A64" s="16" t="n">
        <v>45536</v>
      </c>
      <c r="B64" s="8" t="str">
        <f aca="false">TEXT(A64,"yyyy-mm")</f>
        <v>2024-09</v>
      </c>
      <c r="C64" s="17" t="n">
        <v>402.4</v>
      </c>
      <c r="D64" s="8"/>
      <c r="E64" s="8" t="n">
        <v>0</v>
      </c>
      <c r="F64" s="8" t="n">
        <v>0</v>
      </c>
      <c r="G64" s="18" t="n">
        <f aca="false">C64*(1+IF(A64&gt;=Inputs!$B$5,Inputs!$B$4,0))*(1+Inputs!$B$2*MAX(E64,F64*Inputs!$B$3))</f>
        <v>402.4</v>
      </c>
      <c r="H64" s="18" t="n">
        <f aca="false">C64*(1+IF(A64&gt;=Inputs!$C$5,Inputs!$C$4,0))*(1+Inputs!$C$2*MAX(E64,F64*Inputs!$C$3))</f>
        <v>402.4</v>
      </c>
      <c r="I64" s="18" t="n">
        <f aca="false">C64*(1+IF(A64&gt;=Inputs!$D$5,Inputs!$D$4,0))*(1+Inputs!$D$2*MAX(E64,F64*Inputs!$D$3))</f>
        <v>402.4</v>
      </c>
    </row>
    <row r="65" customFormat="false" ht="15" hidden="false" customHeight="false" outlineLevel="0" collapsed="false">
      <c r="A65" s="16" t="n">
        <v>45537</v>
      </c>
      <c r="B65" s="8" t="str">
        <f aca="false">TEXT(A65,"yyyy-mm")</f>
        <v>2024-09</v>
      </c>
      <c r="C65" s="17" t="n">
        <v>402.4</v>
      </c>
      <c r="D65" s="8"/>
      <c r="E65" s="8" t="n">
        <v>0</v>
      </c>
      <c r="F65" s="8" t="n">
        <v>0</v>
      </c>
      <c r="G65" s="18" t="n">
        <f aca="false">C65*(1+IF(A65&gt;=Inputs!$B$5,Inputs!$B$4,0))*(1+Inputs!$B$2*MAX(E65,F65*Inputs!$B$3))</f>
        <v>402.4</v>
      </c>
      <c r="H65" s="18" t="n">
        <f aca="false">C65*(1+IF(A65&gt;=Inputs!$C$5,Inputs!$C$4,0))*(1+Inputs!$C$2*MAX(E65,F65*Inputs!$C$3))</f>
        <v>402.4</v>
      </c>
      <c r="I65" s="18" t="n">
        <f aca="false">C65*(1+IF(A65&gt;=Inputs!$D$5,Inputs!$D$4,0))*(1+Inputs!$D$2*MAX(E65,F65*Inputs!$D$3))</f>
        <v>402.4</v>
      </c>
    </row>
    <row r="66" customFormat="false" ht="15" hidden="false" customHeight="false" outlineLevel="0" collapsed="false">
      <c r="A66" s="16" t="n">
        <v>45538</v>
      </c>
      <c r="B66" s="8" t="str">
        <f aca="false">TEXT(A66,"yyyy-mm")</f>
        <v>2024-09</v>
      </c>
      <c r="C66" s="17" t="n">
        <v>402.4</v>
      </c>
      <c r="D66" s="8"/>
      <c r="E66" s="8" t="n">
        <v>0</v>
      </c>
      <c r="F66" s="8" t="n">
        <v>0</v>
      </c>
      <c r="G66" s="18" t="n">
        <f aca="false">C66*(1+IF(A66&gt;=Inputs!$B$5,Inputs!$B$4,0))*(1+Inputs!$B$2*MAX(E66,F66*Inputs!$B$3))</f>
        <v>402.4</v>
      </c>
      <c r="H66" s="18" t="n">
        <f aca="false">C66*(1+IF(A66&gt;=Inputs!$C$5,Inputs!$C$4,0))*(1+Inputs!$C$2*MAX(E66,F66*Inputs!$C$3))</f>
        <v>402.4</v>
      </c>
      <c r="I66" s="18" t="n">
        <f aca="false">C66*(1+IF(A66&gt;=Inputs!$D$5,Inputs!$D$4,0))*(1+Inputs!$D$2*MAX(E66,F66*Inputs!$D$3))</f>
        <v>402.4</v>
      </c>
    </row>
    <row r="67" customFormat="false" ht="15" hidden="false" customHeight="false" outlineLevel="0" collapsed="false">
      <c r="A67" s="16" t="n">
        <v>45539</v>
      </c>
      <c r="B67" s="8" t="str">
        <f aca="false">TEXT(A67,"yyyy-mm")</f>
        <v>2024-09</v>
      </c>
      <c r="C67" s="17" t="n">
        <v>402.4</v>
      </c>
      <c r="D67" s="8"/>
      <c r="E67" s="8" t="n">
        <v>0</v>
      </c>
      <c r="F67" s="8" t="n">
        <v>0</v>
      </c>
      <c r="G67" s="18" t="n">
        <f aca="false">C67*(1+IF(A67&gt;=Inputs!$B$5,Inputs!$B$4,0))*(1+Inputs!$B$2*MAX(E67,F67*Inputs!$B$3))</f>
        <v>402.4</v>
      </c>
      <c r="H67" s="18" t="n">
        <f aca="false">C67*(1+IF(A67&gt;=Inputs!$C$5,Inputs!$C$4,0))*(1+Inputs!$C$2*MAX(E67,F67*Inputs!$C$3))</f>
        <v>402.4</v>
      </c>
      <c r="I67" s="18" t="n">
        <f aca="false">C67*(1+IF(A67&gt;=Inputs!$D$5,Inputs!$D$4,0))*(1+Inputs!$D$2*MAX(E67,F67*Inputs!$D$3))</f>
        <v>402.4</v>
      </c>
    </row>
    <row r="68" customFormat="false" ht="15" hidden="false" customHeight="false" outlineLevel="0" collapsed="false">
      <c r="A68" s="16" t="n">
        <v>45540</v>
      </c>
      <c r="B68" s="8" t="str">
        <f aca="false">TEXT(A68,"yyyy-mm")</f>
        <v>2024-09</v>
      </c>
      <c r="C68" s="17" t="n">
        <v>402.4</v>
      </c>
      <c r="D68" s="8"/>
      <c r="E68" s="8" t="n">
        <v>0</v>
      </c>
      <c r="F68" s="8" t="n">
        <v>0</v>
      </c>
      <c r="G68" s="18" t="n">
        <f aca="false">C68*(1+IF(A68&gt;=Inputs!$B$5,Inputs!$B$4,0))*(1+Inputs!$B$2*MAX(E68,F68*Inputs!$B$3))</f>
        <v>402.4</v>
      </c>
      <c r="H68" s="18" t="n">
        <f aca="false">C68*(1+IF(A68&gt;=Inputs!$C$5,Inputs!$C$4,0))*(1+Inputs!$C$2*MAX(E68,F68*Inputs!$C$3))</f>
        <v>402.4</v>
      </c>
      <c r="I68" s="18" t="n">
        <f aca="false">C68*(1+IF(A68&gt;=Inputs!$D$5,Inputs!$D$4,0))*(1+Inputs!$D$2*MAX(E68,F68*Inputs!$D$3))</f>
        <v>402.4</v>
      </c>
    </row>
    <row r="69" customFormat="false" ht="15" hidden="false" customHeight="false" outlineLevel="0" collapsed="false">
      <c r="A69" s="16" t="n">
        <v>45541</v>
      </c>
      <c r="B69" s="8" t="str">
        <f aca="false">TEXT(A69,"yyyy-mm")</f>
        <v>2024-09</v>
      </c>
      <c r="C69" s="17" t="n">
        <v>402.4</v>
      </c>
      <c r="D69" s="8"/>
      <c r="E69" s="8" t="n">
        <v>0</v>
      </c>
      <c r="F69" s="8" t="n">
        <v>1</v>
      </c>
      <c r="G69" s="18" t="n">
        <f aca="false">C69*(1+IF(A69&gt;=Inputs!$B$5,Inputs!$B$4,0))*(1+Inputs!$B$2*MAX(E69,F69*Inputs!$B$3))</f>
        <v>402.4</v>
      </c>
      <c r="H69" s="18" t="n">
        <f aca="false">C69*(1+IF(A69&gt;=Inputs!$C$5,Inputs!$C$4,0))*(1+Inputs!$C$2*MAX(E69,F69*Inputs!$C$3))</f>
        <v>603.6</v>
      </c>
      <c r="I69" s="18" t="n">
        <f aca="false">C69*(1+IF(A69&gt;=Inputs!$D$5,Inputs!$D$4,0))*(1+Inputs!$D$2*MAX(E69,F69*Inputs!$D$3))</f>
        <v>402.4</v>
      </c>
    </row>
    <row r="70" customFormat="false" ht="15" hidden="false" customHeight="false" outlineLevel="0" collapsed="false">
      <c r="A70" s="16" t="n">
        <v>45542</v>
      </c>
      <c r="B70" s="8" t="str">
        <f aca="false">TEXT(A70,"yyyy-mm")</f>
        <v>2024-09</v>
      </c>
      <c r="C70" s="17" t="n">
        <v>402.4</v>
      </c>
      <c r="D70" s="8"/>
      <c r="E70" s="8" t="n">
        <v>0</v>
      </c>
      <c r="F70" s="8" t="n">
        <v>1</v>
      </c>
      <c r="G70" s="18" t="n">
        <f aca="false">C70*(1+IF(A70&gt;=Inputs!$B$5,Inputs!$B$4,0))*(1+Inputs!$B$2*MAX(E70,F70*Inputs!$B$3))</f>
        <v>402.4</v>
      </c>
      <c r="H70" s="18" t="n">
        <f aca="false">C70*(1+IF(A70&gt;=Inputs!$C$5,Inputs!$C$4,0))*(1+Inputs!$C$2*MAX(E70,F70*Inputs!$C$3))</f>
        <v>603.6</v>
      </c>
      <c r="I70" s="18" t="n">
        <f aca="false">C70*(1+IF(A70&gt;=Inputs!$D$5,Inputs!$D$4,0))*(1+Inputs!$D$2*MAX(E70,F70*Inputs!$D$3))</f>
        <v>402.4</v>
      </c>
    </row>
    <row r="71" customFormat="false" ht="15" hidden="false" customHeight="false" outlineLevel="0" collapsed="false">
      <c r="A71" s="16" t="n">
        <v>45543</v>
      </c>
      <c r="B71" s="8" t="str">
        <f aca="false">TEXT(A71,"yyyy-mm")</f>
        <v>2024-09</v>
      </c>
      <c r="C71" s="17" t="n">
        <v>402.4</v>
      </c>
      <c r="D71" s="8"/>
      <c r="E71" s="8" t="n">
        <v>0</v>
      </c>
      <c r="F71" s="8" t="n">
        <v>0</v>
      </c>
      <c r="G71" s="18" t="n">
        <f aca="false">C71*(1+IF(A71&gt;=Inputs!$B$5,Inputs!$B$4,0))*(1+Inputs!$B$2*MAX(E71,F71*Inputs!$B$3))</f>
        <v>402.4</v>
      </c>
      <c r="H71" s="18" t="n">
        <f aca="false">C71*(1+IF(A71&gt;=Inputs!$C$5,Inputs!$C$4,0))*(1+Inputs!$C$2*MAX(E71,F71*Inputs!$C$3))</f>
        <v>402.4</v>
      </c>
      <c r="I71" s="18" t="n">
        <f aca="false">C71*(1+IF(A71&gt;=Inputs!$D$5,Inputs!$D$4,0))*(1+Inputs!$D$2*MAX(E71,F71*Inputs!$D$3))</f>
        <v>402.4</v>
      </c>
    </row>
    <row r="72" customFormat="false" ht="15" hidden="false" customHeight="false" outlineLevel="0" collapsed="false">
      <c r="A72" s="16" t="n">
        <v>45544</v>
      </c>
      <c r="B72" s="8" t="str">
        <f aca="false">TEXT(A72,"yyyy-mm")</f>
        <v>2024-09</v>
      </c>
      <c r="C72" s="17" t="n">
        <v>402.4</v>
      </c>
      <c r="D72" s="8"/>
      <c r="E72" s="8" t="n">
        <v>0</v>
      </c>
      <c r="F72" s="8" t="n">
        <v>0</v>
      </c>
      <c r="G72" s="18" t="n">
        <f aca="false">C72*(1+IF(A72&gt;=Inputs!$B$5,Inputs!$B$4,0))*(1+Inputs!$B$2*MAX(E72,F72*Inputs!$B$3))</f>
        <v>402.4</v>
      </c>
      <c r="H72" s="18" t="n">
        <f aca="false">C72*(1+IF(A72&gt;=Inputs!$C$5,Inputs!$C$4,0))*(1+Inputs!$C$2*MAX(E72,F72*Inputs!$C$3))</f>
        <v>402.4</v>
      </c>
      <c r="I72" s="18" t="n">
        <f aca="false">C72*(1+IF(A72&gt;=Inputs!$D$5,Inputs!$D$4,0))*(1+Inputs!$D$2*MAX(E72,F72*Inputs!$D$3))</f>
        <v>402.4</v>
      </c>
    </row>
    <row r="73" customFormat="false" ht="15" hidden="false" customHeight="false" outlineLevel="0" collapsed="false">
      <c r="A73" s="16" t="n">
        <v>45545</v>
      </c>
      <c r="B73" s="8" t="str">
        <f aca="false">TEXT(A73,"yyyy-mm")</f>
        <v>2024-09</v>
      </c>
      <c r="C73" s="17" t="n">
        <v>402.4</v>
      </c>
      <c r="D73" s="8"/>
      <c r="E73" s="8" t="n">
        <v>0</v>
      </c>
      <c r="F73" s="8" t="n">
        <v>0</v>
      </c>
      <c r="G73" s="18" t="n">
        <f aca="false">C73*(1+IF(A73&gt;=Inputs!$B$5,Inputs!$B$4,0))*(1+Inputs!$B$2*MAX(E73,F73*Inputs!$B$3))</f>
        <v>402.4</v>
      </c>
      <c r="H73" s="18" t="n">
        <f aca="false">C73*(1+IF(A73&gt;=Inputs!$C$5,Inputs!$C$4,0))*(1+Inputs!$C$2*MAX(E73,F73*Inputs!$C$3))</f>
        <v>402.4</v>
      </c>
      <c r="I73" s="18" t="n">
        <f aca="false">C73*(1+IF(A73&gt;=Inputs!$D$5,Inputs!$D$4,0))*(1+Inputs!$D$2*MAX(E73,F73*Inputs!$D$3))</f>
        <v>402.4</v>
      </c>
    </row>
    <row r="74" customFormat="false" ht="15" hidden="false" customHeight="false" outlineLevel="0" collapsed="false">
      <c r="A74" s="16" t="n">
        <v>45546</v>
      </c>
      <c r="B74" s="8" t="str">
        <f aca="false">TEXT(A74,"yyyy-mm")</f>
        <v>2024-09</v>
      </c>
      <c r="C74" s="17" t="n">
        <v>402.4</v>
      </c>
      <c r="D74" s="8"/>
      <c r="E74" s="8" t="n">
        <v>0</v>
      </c>
      <c r="F74" s="8" t="n">
        <v>0</v>
      </c>
      <c r="G74" s="18" t="n">
        <f aca="false">C74*(1+IF(A74&gt;=Inputs!$B$5,Inputs!$B$4,0))*(1+Inputs!$B$2*MAX(E74,F74*Inputs!$B$3))</f>
        <v>402.4</v>
      </c>
      <c r="H74" s="18" t="n">
        <f aca="false">C74*(1+IF(A74&gt;=Inputs!$C$5,Inputs!$C$4,0))*(1+Inputs!$C$2*MAX(E74,F74*Inputs!$C$3))</f>
        <v>402.4</v>
      </c>
      <c r="I74" s="18" t="n">
        <f aca="false">C74*(1+IF(A74&gt;=Inputs!$D$5,Inputs!$D$4,0))*(1+Inputs!$D$2*MAX(E74,F74*Inputs!$D$3))</f>
        <v>402.4</v>
      </c>
    </row>
    <row r="75" customFormat="false" ht="15" hidden="false" customHeight="false" outlineLevel="0" collapsed="false">
      <c r="A75" s="16" t="n">
        <v>45547</v>
      </c>
      <c r="B75" s="8" t="str">
        <f aca="false">TEXT(A75,"yyyy-mm")</f>
        <v>2024-09</v>
      </c>
      <c r="C75" s="17" t="n">
        <v>402.4</v>
      </c>
      <c r="D75" s="8"/>
      <c r="E75" s="8" t="n">
        <v>0</v>
      </c>
      <c r="F75" s="8" t="n">
        <v>0</v>
      </c>
      <c r="G75" s="18" t="n">
        <f aca="false">C75*(1+IF(A75&gt;=Inputs!$B$5,Inputs!$B$4,0))*(1+Inputs!$B$2*MAX(E75,F75*Inputs!$B$3))</f>
        <v>402.4</v>
      </c>
      <c r="H75" s="18" t="n">
        <f aca="false">C75*(1+IF(A75&gt;=Inputs!$C$5,Inputs!$C$4,0))*(1+Inputs!$C$2*MAX(E75,F75*Inputs!$C$3))</f>
        <v>402.4</v>
      </c>
      <c r="I75" s="18" t="n">
        <f aca="false">C75*(1+IF(A75&gt;=Inputs!$D$5,Inputs!$D$4,0))*(1+Inputs!$D$2*MAX(E75,F75*Inputs!$D$3))</f>
        <v>402.4</v>
      </c>
    </row>
    <row r="76" customFormat="false" ht="15" hidden="false" customHeight="false" outlineLevel="0" collapsed="false">
      <c r="A76" s="16" t="n">
        <v>45548</v>
      </c>
      <c r="B76" s="8" t="str">
        <f aca="false">TEXT(A76,"yyyy-mm")</f>
        <v>2024-09</v>
      </c>
      <c r="C76" s="17" t="n">
        <v>402.4</v>
      </c>
      <c r="D76" s="8"/>
      <c r="E76" s="8" t="n">
        <v>0</v>
      </c>
      <c r="F76" s="8" t="n">
        <v>0</v>
      </c>
      <c r="G76" s="18" t="n">
        <f aca="false">C76*(1+IF(A76&gt;=Inputs!$B$5,Inputs!$B$4,0))*(1+Inputs!$B$2*MAX(E76,F76*Inputs!$B$3))</f>
        <v>402.4</v>
      </c>
      <c r="H76" s="18" t="n">
        <f aca="false">C76*(1+IF(A76&gt;=Inputs!$C$5,Inputs!$C$4,0))*(1+Inputs!$C$2*MAX(E76,F76*Inputs!$C$3))</f>
        <v>402.4</v>
      </c>
      <c r="I76" s="18" t="n">
        <f aca="false">C76*(1+IF(A76&gt;=Inputs!$D$5,Inputs!$D$4,0))*(1+Inputs!$D$2*MAX(E76,F76*Inputs!$D$3))</f>
        <v>402.4</v>
      </c>
    </row>
    <row r="77" customFormat="false" ht="15" hidden="false" customHeight="false" outlineLevel="0" collapsed="false">
      <c r="A77" s="16" t="n">
        <v>45549</v>
      </c>
      <c r="B77" s="8" t="str">
        <f aca="false">TEXT(A77,"yyyy-mm")</f>
        <v>2024-09</v>
      </c>
      <c r="C77" s="17" t="n">
        <v>402.4</v>
      </c>
      <c r="D77" s="8"/>
      <c r="E77" s="8" t="n">
        <v>0</v>
      </c>
      <c r="F77" s="8" t="n">
        <v>0</v>
      </c>
      <c r="G77" s="18" t="n">
        <f aca="false">C77*(1+IF(A77&gt;=Inputs!$B$5,Inputs!$B$4,0))*(1+Inputs!$B$2*MAX(E77,F77*Inputs!$B$3))</f>
        <v>402.4</v>
      </c>
      <c r="H77" s="18" t="n">
        <f aca="false">C77*(1+IF(A77&gt;=Inputs!$C$5,Inputs!$C$4,0))*(1+Inputs!$C$2*MAX(E77,F77*Inputs!$C$3))</f>
        <v>402.4</v>
      </c>
      <c r="I77" s="18" t="n">
        <f aca="false">C77*(1+IF(A77&gt;=Inputs!$D$5,Inputs!$D$4,0))*(1+Inputs!$D$2*MAX(E77,F77*Inputs!$D$3))</f>
        <v>402.4</v>
      </c>
    </row>
    <row r="78" customFormat="false" ht="15" hidden="false" customHeight="false" outlineLevel="0" collapsed="false">
      <c r="A78" s="16" t="n">
        <v>45550</v>
      </c>
      <c r="B78" s="8" t="str">
        <f aca="false">TEXT(A78,"yyyy-mm")</f>
        <v>2024-09</v>
      </c>
      <c r="C78" s="17" t="n">
        <v>402.4</v>
      </c>
      <c r="D78" s="8"/>
      <c r="E78" s="8" t="n">
        <v>0</v>
      </c>
      <c r="F78" s="8" t="n">
        <v>0</v>
      </c>
      <c r="G78" s="18" t="n">
        <f aca="false">C78*(1+IF(A78&gt;=Inputs!$B$5,Inputs!$B$4,0))*(1+Inputs!$B$2*MAX(E78,F78*Inputs!$B$3))</f>
        <v>402.4</v>
      </c>
      <c r="H78" s="18" t="n">
        <f aca="false">C78*(1+IF(A78&gt;=Inputs!$C$5,Inputs!$C$4,0))*(1+Inputs!$C$2*MAX(E78,F78*Inputs!$C$3))</f>
        <v>402.4</v>
      </c>
      <c r="I78" s="18" t="n">
        <f aca="false">C78*(1+IF(A78&gt;=Inputs!$D$5,Inputs!$D$4,0))*(1+Inputs!$D$2*MAX(E78,F78*Inputs!$D$3))</f>
        <v>402.4</v>
      </c>
    </row>
    <row r="79" customFormat="false" ht="15" hidden="false" customHeight="false" outlineLevel="0" collapsed="false">
      <c r="A79" s="16" t="n">
        <v>45551</v>
      </c>
      <c r="B79" s="8" t="str">
        <f aca="false">TEXT(A79,"yyyy-mm")</f>
        <v>2024-09</v>
      </c>
      <c r="C79" s="17" t="n">
        <v>402.4</v>
      </c>
      <c r="D79" s="8"/>
      <c r="E79" s="8" t="n">
        <v>0</v>
      </c>
      <c r="F79" s="8" t="n">
        <v>0</v>
      </c>
      <c r="G79" s="18" t="n">
        <f aca="false">C79*(1+IF(A79&gt;=Inputs!$B$5,Inputs!$B$4,0))*(1+Inputs!$B$2*MAX(E79,F79*Inputs!$B$3))</f>
        <v>402.4</v>
      </c>
      <c r="H79" s="18" t="n">
        <f aca="false">C79*(1+IF(A79&gt;=Inputs!$C$5,Inputs!$C$4,0))*(1+Inputs!$C$2*MAX(E79,F79*Inputs!$C$3))</f>
        <v>402.4</v>
      </c>
      <c r="I79" s="18" t="n">
        <f aca="false">C79*(1+IF(A79&gt;=Inputs!$D$5,Inputs!$D$4,0))*(1+Inputs!$D$2*MAX(E79,F79*Inputs!$D$3))</f>
        <v>402.4</v>
      </c>
    </row>
    <row r="80" customFormat="false" ht="15" hidden="false" customHeight="false" outlineLevel="0" collapsed="false">
      <c r="A80" s="16" t="n">
        <v>45552</v>
      </c>
      <c r="B80" s="8" t="str">
        <f aca="false">TEXT(A80,"yyyy-mm")</f>
        <v>2024-09</v>
      </c>
      <c r="C80" s="17" t="n">
        <v>402.4</v>
      </c>
      <c r="D80" s="8"/>
      <c r="E80" s="8" t="n">
        <v>0</v>
      </c>
      <c r="F80" s="8" t="n">
        <v>0</v>
      </c>
      <c r="G80" s="18" t="n">
        <f aca="false">C80*(1+IF(A80&gt;=Inputs!$B$5,Inputs!$B$4,0))*(1+Inputs!$B$2*MAX(E80,F80*Inputs!$B$3))</f>
        <v>402.4</v>
      </c>
      <c r="H80" s="18" t="n">
        <f aca="false">C80*(1+IF(A80&gt;=Inputs!$C$5,Inputs!$C$4,0))*(1+Inputs!$C$2*MAX(E80,F80*Inputs!$C$3))</f>
        <v>402.4</v>
      </c>
      <c r="I80" s="18" t="n">
        <f aca="false">C80*(1+IF(A80&gt;=Inputs!$D$5,Inputs!$D$4,0))*(1+Inputs!$D$2*MAX(E80,F80*Inputs!$D$3))</f>
        <v>402.4</v>
      </c>
    </row>
    <row r="81" customFormat="false" ht="15" hidden="false" customHeight="false" outlineLevel="0" collapsed="false">
      <c r="A81" s="16" t="n">
        <v>45553</v>
      </c>
      <c r="B81" s="8" t="str">
        <f aca="false">TEXT(A81,"yyyy-mm")</f>
        <v>2024-09</v>
      </c>
      <c r="C81" s="17" t="n">
        <v>402.4</v>
      </c>
      <c r="D81" s="8"/>
      <c r="E81" s="8" t="n">
        <v>0</v>
      </c>
      <c r="F81" s="8" t="n">
        <v>0</v>
      </c>
      <c r="G81" s="18" t="n">
        <f aca="false">C81*(1+IF(A81&gt;=Inputs!$B$5,Inputs!$B$4,0))*(1+Inputs!$B$2*MAX(E81,F81*Inputs!$B$3))</f>
        <v>402.4</v>
      </c>
      <c r="H81" s="18" t="n">
        <f aca="false">C81*(1+IF(A81&gt;=Inputs!$C$5,Inputs!$C$4,0))*(1+Inputs!$C$2*MAX(E81,F81*Inputs!$C$3))</f>
        <v>402.4</v>
      </c>
      <c r="I81" s="18" t="n">
        <f aca="false">C81*(1+IF(A81&gt;=Inputs!$D$5,Inputs!$D$4,0))*(1+Inputs!$D$2*MAX(E81,F81*Inputs!$D$3))</f>
        <v>402.4</v>
      </c>
    </row>
    <row r="82" customFormat="false" ht="15" hidden="false" customHeight="false" outlineLevel="0" collapsed="false">
      <c r="A82" s="16" t="n">
        <v>45554</v>
      </c>
      <c r="B82" s="8" t="str">
        <f aca="false">TEXT(A82,"yyyy-mm")</f>
        <v>2024-09</v>
      </c>
      <c r="C82" s="17" t="n">
        <v>402.4</v>
      </c>
      <c r="D82" s="8"/>
      <c r="E82" s="8" t="n">
        <v>0</v>
      </c>
      <c r="F82" s="8" t="n">
        <v>0</v>
      </c>
      <c r="G82" s="18" t="n">
        <f aca="false">C82*(1+IF(A82&gt;=Inputs!$B$5,Inputs!$B$4,0))*(1+Inputs!$B$2*MAX(E82,F82*Inputs!$B$3))</f>
        <v>402.4</v>
      </c>
      <c r="H82" s="18" t="n">
        <f aca="false">C82*(1+IF(A82&gt;=Inputs!$C$5,Inputs!$C$4,0))*(1+Inputs!$C$2*MAX(E82,F82*Inputs!$C$3))</f>
        <v>402.4</v>
      </c>
      <c r="I82" s="18" t="n">
        <f aca="false">C82*(1+IF(A82&gt;=Inputs!$D$5,Inputs!$D$4,0))*(1+Inputs!$D$2*MAX(E82,F82*Inputs!$D$3))</f>
        <v>402.4</v>
      </c>
    </row>
    <row r="83" customFormat="false" ht="15" hidden="false" customHeight="false" outlineLevel="0" collapsed="false">
      <c r="A83" s="16" t="n">
        <v>45555</v>
      </c>
      <c r="B83" s="8" t="str">
        <f aca="false">TEXT(A83,"yyyy-mm")</f>
        <v>2024-09</v>
      </c>
      <c r="C83" s="17" t="n">
        <v>402.4</v>
      </c>
      <c r="D83" s="8"/>
      <c r="E83" s="8" t="n">
        <v>0</v>
      </c>
      <c r="F83" s="8" t="n">
        <v>0</v>
      </c>
      <c r="G83" s="18" t="n">
        <f aca="false">C83*(1+IF(A83&gt;=Inputs!$B$5,Inputs!$B$4,0))*(1+Inputs!$B$2*MAX(E83,F83*Inputs!$B$3))</f>
        <v>402.4</v>
      </c>
      <c r="H83" s="18" t="n">
        <f aca="false">C83*(1+IF(A83&gt;=Inputs!$C$5,Inputs!$C$4,0))*(1+Inputs!$C$2*MAX(E83,F83*Inputs!$C$3))</f>
        <v>402.4</v>
      </c>
      <c r="I83" s="18" t="n">
        <f aca="false">C83*(1+IF(A83&gt;=Inputs!$D$5,Inputs!$D$4,0))*(1+Inputs!$D$2*MAX(E83,F83*Inputs!$D$3))</f>
        <v>402.4</v>
      </c>
    </row>
    <row r="84" customFormat="false" ht="15" hidden="false" customHeight="false" outlineLevel="0" collapsed="false">
      <c r="A84" s="16" t="n">
        <v>45556</v>
      </c>
      <c r="B84" s="8" t="str">
        <f aca="false">TEXT(A84,"yyyy-mm")</f>
        <v>2024-09</v>
      </c>
      <c r="C84" s="17" t="n">
        <v>402.4</v>
      </c>
      <c r="D84" s="8"/>
      <c r="E84" s="8" t="n">
        <v>0</v>
      </c>
      <c r="F84" s="8" t="n">
        <v>0</v>
      </c>
      <c r="G84" s="18" t="n">
        <f aca="false">C84*(1+IF(A84&gt;=Inputs!$B$5,Inputs!$B$4,0))*(1+Inputs!$B$2*MAX(E84,F84*Inputs!$B$3))</f>
        <v>402.4</v>
      </c>
      <c r="H84" s="18" t="n">
        <f aca="false">C84*(1+IF(A84&gt;=Inputs!$C$5,Inputs!$C$4,0))*(1+Inputs!$C$2*MAX(E84,F84*Inputs!$C$3))</f>
        <v>402.4</v>
      </c>
      <c r="I84" s="18" t="n">
        <f aca="false">C84*(1+IF(A84&gt;=Inputs!$D$5,Inputs!$D$4,0))*(1+Inputs!$D$2*MAX(E84,F84*Inputs!$D$3))</f>
        <v>402.4</v>
      </c>
    </row>
    <row r="85" customFormat="false" ht="15" hidden="false" customHeight="false" outlineLevel="0" collapsed="false">
      <c r="A85" s="16" t="n">
        <v>45557</v>
      </c>
      <c r="B85" s="8" t="str">
        <f aca="false">TEXT(A85,"yyyy-mm")</f>
        <v>2024-09</v>
      </c>
      <c r="C85" s="17" t="n">
        <v>402.4</v>
      </c>
      <c r="D85" s="8"/>
      <c r="E85" s="8" t="n">
        <v>0</v>
      </c>
      <c r="F85" s="8" t="n">
        <v>0</v>
      </c>
      <c r="G85" s="18" t="n">
        <f aca="false">C85*(1+IF(A85&gt;=Inputs!$B$5,Inputs!$B$4,0))*(1+Inputs!$B$2*MAX(E85,F85*Inputs!$B$3))</f>
        <v>402.4</v>
      </c>
      <c r="H85" s="18" t="n">
        <f aca="false">C85*(1+IF(A85&gt;=Inputs!$C$5,Inputs!$C$4,0))*(1+Inputs!$C$2*MAX(E85,F85*Inputs!$C$3))</f>
        <v>402.4</v>
      </c>
      <c r="I85" s="18" t="n">
        <f aca="false">C85*(1+IF(A85&gt;=Inputs!$D$5,Inputs!$D$4,0))*(1+Inputs!$D$2*MAX(E85,F85*Inputs!$D$3))</f>
        <v>402.4</v>
      </c>
    </row>
    <row r="86" customFormat="false" ht="15" hidden="false" customHeight="false" outlineLevel="0" collapsed="false">
      <c r="A86" s="16" t="n">
        <v>45558</v>
      </c>
      <c r="B86" s="8" t="str">
        <f aca="false">TEXT(A86,"yyyy-mm")</f>
        <v>2024-09</v>
      </c>
      <c r="C86" s="17" t="n">
        <v>402.4</v>
      </c>
      <c r="D86" s="8"/>
      <c r="E86" s="8" t="n">
        <v>0</v>
      </c>
      <c r="F86" s="8" t="n">
        <v>0</v>
      </c>
      <c r="G86" s="18" t="n">
        <f aca="false">C86*(1+IF(A86&gt;=Inputs!$B$5,Inputs!$B$4,0))*(1+Inputs!$B$2*MAX(E86,F86*Inputs!$B$3))</f>
        <v>402.4</v>
      </c>
      <c r="H86" s="18" t="n">
        <f aca="false">C86*(1+IF(A86&gt;=Inputs!$C$5,Inputs!$C$4,0))*(1+Inputs!$C$2*MAX(E86,F86*Inputs!$C$3))</f>
        <v>402.4</v>
      </c>
      <c r="I86" s="18" t="n">
        <f aca="false">C86*(1+IF(A86&gt;=Inputs!$D$5,Inputs!$D$4,0))*(1+Inputs!$D$2*MAX(E86,F86*Inputs!$D$3))</f>
        <v>402.4</v>
      </c>
    </row>
    <row r="87" customFormat="false" ht="15" hidden="false" customHeight="false" outlineLevel="0" collapsed="false">
      <c r="A87" s="16" t="n">
        <v>45559</v>
      </c>
      <c r="B87" s="8" t="str">
        <f aca="false">TEXT(A87,"yyyy-mm")</f>
        <v>2024-09</v>
      </c>
      <c r="C87" s="17" t="n">
        <v>402.4</v>
      </c>
      <c r="D87" s="8"/>
      <c r="E87" s="8" t="n">
        <v>0</v>
      </c>
      <c r="F87" s="8" t="n">
        <v>0</v>
      </c>
      <c r="G87" s="18" t="n">
        <f aca="false">C87*(1+IF(A87&gt;=Inputs!$B$5,Inputs!$B$4,0))*(1+Inputs!$B$2*MAX(E87,F87*Inputs!$B$3))</f>
        <v>402.4</v>
      </c>
      <c r="H87" s="18" t="n">
        <f aca="false">C87*(1+IF(A87&gt;=Inputs!$C$5,Inputs!$C$4,0))*(1+Inputs!$C$2*MAX(E87,F87*Inputs!$C$3))</f>
        <v>402.4</v>
      </c>
      <c r="I87" s="18" t="n">
        <f aca="false">C87*(1+IF(A87&gt;=Inputs!$D$5,Inputs!$D$4,0))*(1+Inputs!$D$2*MAX(E87,F87*Inputs!$D$3))</f>
        <v>402.4</v>
      </c>
    </row>
    <row r="88" customFormat="false" ht="15" hidden="false" customHeight="false" outlineLevel="0" collapsed="false">
      <c r="A88" s="16" t="n">
        <v>45560</v>
      </c>
      <c r="B88" s="8" t="str">
        <f aca="false">TEXT(A88,"yyyy-mm")</f>
        <v>2024-09</v>
      </c>
      <c r="C88" s="17" t="n">
        <v>402.4</v>
      </c>
      <c r="D88" s="8"/>
      <c r="E88" s="8" t="n">
        <v>0</v>
      </c>
      <c r="F88" s="8" t="n">
        <v>0</v>
      </c>
      <c r="G88" s="18" t="n">
        <f aca="false">C88*(1+IF(A88&gt;=Inputs!$B$5,Inputs!$B$4,0))*(1+Inputs!$B$2*MAX(E88,F88*Inputs!$B$3))</f>
        <v>402.4</v>
      </c>
      <c r="H88" s="18" t="n">
        <f aca="false">C88*(1+IF(A88&gt;=Inputs!$C$5,Inputs!$C$4,0))*(1+Inputs!$C$2*MAX(E88,F88*Inputs!$C$3))</f>
        <v>402.4</v>
      </c>
      <c r="I88" s="18" t="n">
        <f aca="false">C88*(1+IF(A88&gt;=Inputs!$D$5,Inputs!$D$4,0))*(1+Inputs!$D$2*MAX(E88,F88*Inputs!$D$3))</f>
        <v>402.4</v>
      </c>
    </row>
    <row r="89" customFormat="false" ht="15" hidden="false" customHeight="false" outlineLevel="0" collapsed="false">
      <c r="A89" s="16" t="n">
        <v>45561</v>
      </c>
      <c r="B89" s="8" t="str">
        <f aca="false">TEXT(A89,"yyyy-mm")</f>
        <v>2024-09</v>
      </c>
      <c r="C89" s="17" t="n">
        <v>402.4</v>
      </c>
      <c r="D89" s="8"/>
      <c r="E89" s="8" t="n">
        <v>0</v>
      </c>
      <c r="F89" s="8" t="n">
        <v>0</v>
      </c>
      <c r="G89" s="18" t="n">
        <f aca="false">C89*(1+IF(A89&gt;=Inputs!$B$5,Inputs!$B$4,0))*(1+Inputs!$B$2*MAX(E89,F89*Inputs!$B$3))</f>
        <v>402.4</v>
      </c>
      <c r="H89" s="18" t="n">
        <f aca="false">C89*(1+IF(A89&gt;=Inputs!$C$5,Inputs!$C$4,0))*(1+Inputs!$C$2*MAX(E89,F89*Inputs!$C$3))</f>
        <v>402.4</v>
      </c>
      <c r="I89" s="18" t="n">
        <f aca="false">C89*(1+IF(A89&gt;=Inputs!$D$5,Inputs!$D$4,0))*(1+Inputs!$D$2*MAX(E89,F89*Inputs!$D$3))</f>
        <v>402.4</v>
      </c>
    </row>
    <row r="90" customFormat="false" ht="15" hidden="false" customHeight="false" outlineLevel="0" collapsed="false">
      <c r="A90" s="16" t="n">
        <v>45562</v>
      </c>
      <c r="B90" s="8" t="str">
        <f aca="false">TEXT(A90,"yyyy-mm")</f>
        <v>2024-09</v>
      </c>
      <c r="C90" s="17" t="n">
        <v>402.4</v>
      </c>
      <c r="D90" s="8"/>
      <c r="E90" s="8" t="n">
        <v>0</v>
      </c>
      <c r="F90" s="8" t="n">
        <v>0</v>
      </c>
      <c r="G90" s="18" t="n">
        <f aca="false">C90*(1+IF(A90&gt;=Inputs!$B$5,Inputs!$B$4,0))*(1+Inputs!$B$2*MAX(E90,F90*Inputs!$B$3))</f>
        <v>402.4</v>
      </c>
      <c r="H90" s="18" t="n">
        <f aca="false">C90*(1+IF(A90&gt;=Inputs!$C$5,Inputs!$C$4,0))*(1+Inputs!$C$2*MAX(E90,F90*Inputs!$C$3))</f>
        <v>402.4</v>
      </c>
      <c r="I90" s="18" t="n">
        <f aca="false">C90*(1+IF(A90&gt;=Inputs!$D$5,Inputs!$D$4,0))*(1+Inputs!$D$2*MAX(E90,F90*Inputs!$D$3))</f>
        <v>402.4</v>
      </c>
    </row>
    <row r="91" customFormat="false" ht="15" hidden="false" customHeight="false" outlineLevel="0" collapsed="false">
      <c r="A91" s="16" t="n">
        <v>45563</v>
      </c>
      <c r="B91" s="8" t="str">
        <f aca="false">TEXT(A91,"yyyy-mm")</f>
        <v>2024-09</v>
      </c>
      <c r="C91" s="17" t="n">
        <v>402.4</v>
      </c>
      <c r="D91" s="8"/>
      <c r="E91" s="8" t="n">
        <v>0</v>
      </c>
      <c r="F91" s="8" t="n">
        <v>0</v>
      </c>
      <c r="G91" s="18" t="n">
        <f aca="false">C91*(1+IF(A91&gt;=Inputs!$B$5,Inputs!$B$4,0))*(1+Inputs!$B$2*MAX(E91,F91*Inputs!$B$3))</f>
        <v>402.4</v>
      </c>
      <c r="H91" s="18" t="n">
        <f aca="false">C91*(1+IF(A91&gt;=Inputs!$C$5,Inputs!$C$4,0))*(1+Inputs!$C$2*MAX(E91,F91*Inputs!$C$3))</f>
        <v>402.4</v>
      </c>
      <c r="I91" s="18" t="n">
        <f aca="false">C91*(1+IF(A91&gt;=Inputs!$D$5,Inputs!$D$4,0))*(1+Inputs!$D$2*MAX(E91,F91*Inputs!$D$3))</f>
        <v>402.4</v>
      </c>
    </row>
    <row r="92" customFormat="false" ht="15" hidden="false" customHeight="false" outlineLevel="0" collapsed="false">
      <c r="A92" s="16" t="n">
        <v>45564</v>
      </c>
      <c r="B92" s="8" t="str">
        <f aca="false">TEXT(A92,"yyyy-mm")</f>
        <v>2024-09</v>
      </c>
      <c r="C92" s="17" t="n">
        <v>402.4</v>
      </c>
      <c r="D92" s="8"/>
      <c r="E92" s="8" t="n">
        <v>0</v>
      </c>
      <c r="F92" s="8" t="n">
        <v>0</v>
      </c>
      <c r="G92" s="18" t="n">
        <f aca="false">C92*(1+IF(A92&gt;=Inputs!$B$5,Inputs!$B$4,0))*(1+Inputs!$B$2*MAX(E92,F92*Inputs!$B$3))</f>
        <v>402.4</v>
      </c>
      <c r="H92" s="18" t="n">
        <f aca="false">C92*(1+IF(A92&gt;=Inputs!$C$5,Inputs!$C$4,0))*(1+Inputs!$C$2*MAX(E92,F92*Inputs!$C$3))</f>
        <v>402.4</v>
      </c>
      <c r="I92" s="18" t="n">
        <f aca="false">C92*(1+IF(A92&gt;=Inputs!$D$5,Inputs!$D$4,0))*(1+Inputs!$D$2*MAX(E92,F92*Inputs!$D$3))</f>
        <v>402.4</v>
      </c>
    </row>
    <row r="93" customFormat="false" ht="15" hidden="false" customHeight="false" outlineLevel="0" collapsed="false">
      <c r="A93" s="16" t="n">
        <v>45565</v>
      </c>
      <c r="B93" s="8" t="str">
        <f aca="false">TEXT(A93,"yyyy-mm")</f>
        <v>2024-09</v>
      </c>
      <c r="C93" s="17" t="n">
        <v>402.4</v>
      </c>
      <c r="D93" s="8"/>
      <c r="E93" s="8" t="n">
        <v>0</v>
      </c>
      <c r="F93" s="8" t="n">
        <v>0</v>
      </c>
      <c r="G93" s="18" t="n">
        <f aca="false">C93*(1+IF(A93&gt;=Inputs!$B$5,Inputs!$B$4,0))*(1+Inputs!$B$2*MAX(E93,F93*Inputs!$B$3))</f>
        <v>402.4</v>
      </c>
      <c r="H93" s="18" t="n">
        <f aca="false">C93*(1+IF(A93&gt;=Inputs!$C$5,Inputs!$C$4,0))*(1+Inputs!$C$2*MAX(E93,F93*Inputs!$C$3))</f>
        <v>402.4</v>
      </c>
      <c r="I93" s="18" t="n">
        <f aca="false">C93*(1+IF(A93&gt;=Inputs!$D$5,Inputs!$D$4,0))*(1+Inputs!$D$2*MAX(E93,F93*Inputs!$D$3))</f>
        <v>402.4</v>
      </c>
    </row>
    <row r="94" customFormat="false" ht="15" hidden="false" customHeight="false" outlineLevel="0" collapsed="false">
      <c r="A94" s="16" t="n">
        <v>45566</v>
      </c>
      <c r="B94" s="8" t="str">
        <f aca="false">TEXT(A94,"yyyy-mm")</f>
        <v>2024-10</v>
      </c>
      <c r="C94" s="17" t="n">
        <v>402.4</v>
      </c>
      <c r="D94" s="8"/>
      <c r="E94" s="8" t="n">
        <v>0</v>
      </c>
      <c r="F94" s="8" t="n">
        <v>0</v>
      </c>
      <c r="G94" s="18" t="n">
        <f aca="false">C94*(1+IF(A94&gt;=Inputs!$B$5,Inputs!$B$4,0))*(1+Inputs!$B$2*MAX(E94,F94*Inputs!$B$3))</f>
        <v>402.4</v>
      </c>
      <c r="H94" s="18" t="n">
        <f aca="false">C94*(1+IF(A94&gt;=Inputs!$C$5,Inputs!$C$4,0))*(1+Inputs!$C$2*MAX(E94,F94*Inputs!$C$3))</f>
        <v>402.4</v>
      </c>
      <c r="I94" s="18" t="n">
        <f aca="false">C94*(1+IF(A94&gt;=Inputs!$D$5,Inputs!$D$4,0))*(1+Inputs!$D$2*MAX(E94,F94*Inputs!$D$3))</f>
        <v>402.4</v>
      </c>
    </row>
    <row r="95" customFormat="false" ht="15" hidden="false" customHeight="false" outlineLevel="0" collapsed="false">
      <c r="A95" s="16" t="n">
        <v>45567</v>
      </c>
      <c r="B95" s="8" t="str">
        <f aca="false">TEXT(A95,"yyyy-mm")</f>
        <v>2024-10</v>
      </c>
      <c r="C95" s="17" t="n">
        <v>402.4</v>
      </c>
      <c r="D95" s="8"/>
      <c r="E95" s="8" t="n">
        <v>0</v>
      </c>
      <c r="F95" s="8" t="n">
        <v>0</v>
      </c>
      <c r="G95" s="18" t="n">
        <f aca="false">C95*(1+IF(A95&gt;=Inputs!$B$5,Inputs!$B$4,0))*(1+Inputs!$B$2*MAX(E95,F95*Inputs!$B$3))</f>
        <v>402.4</v>
      </c>
      <c r="H95" s="18" t="n">
        <f aca="false">C95*(1+IF(A95&gt;=Inputs!$C$5,Inputs!$C$4,0))*(1+Inputs!$C$2*MAX(E95,F95*Inputs!$C$3))</f>
        <v>402.4</v>
      </c>
      <c r="I95" s="18" t="n">
        <f aca="false">C95*(1+IF(A95&gt;=Inputs!$D$5,Inputs!$D$4,0))*(1+Inputs!$D$2*MAX(E95,F95*Inputs!$D$3))</f>
        <v>402.4</v>
      </c>
    </row>
    <row r="96" customFormat="false" ht="15" hidden="false" customHeight="false" outlineLevel="0" collapsed="false">
      <c r="A96" s="16" t="n">
        <v>45568</v>
      </c>
      <c r="B96" s="8" t="str">
        <f aca="false">TEXT(A96,"yyyy-mm")</f>
        <v>2024-10</v>
      </c>
      <c r="C96" s="17" t="n">
        <v>402.4</v>
      </c>
      <c r="D96" s="8"/>
      <c r="E96" s="8" t="n">
        <v>0</v>
      </c>
      <c r="F96" s="8" t="n">
        <v>0</v>
      </c>
      <c r="G96" s="18" t="n">
        <f aca="false">C96*(1+IF(A96&gt;=Inputs!$B$5,Inputs!$B$4,0))*(1+Inputs!$B$2*MAX(E96,F96*Inputs!$B$3))</f>
        <v>402.4</v>
      </c>
      <c r="H96" s="18" t="n">
        <f aca="false">C96*(1+IF(A96&gt;=Inputs!$C$5,Inputs!$C$4,0))*(1+Inputs!$C$2*MAX(E96,F96*Inputs!$C$3))</f>
        <v>402.4</v>
      </c>
      <c r="I96" s="18" t="n">
        <f aca="false">C96*(1+IF(A96&gt;=Inputs!$D$5,Inputs!$D$4,0))*(1+Inputs!$D$2*MAX(E96,F96*Inputs!$D$3))</f>
        <v>402.4</v>
      </c>
    </row>
    <row r="97" customFormat="false" ht="15" hidden="false" customHeight="false" outlineLevel="0" collapsed="false">
      <c r="A97" s="16" t="n">
        <v>45569</v>
      </c>
      <c r="B97" s="8" t="str">
        <f aca="false">TEXT(A97,"yyyy-mm")</f>
        <v>2024-10</v>
      </c>
      <c r="C97" s="17" t="n">
        <v>402.4</v>
      </c>
      <c r="D97" s="8"/>
      <c r="E97" s="8" t="n">
        <v>0</v>
      </c>
      <c r="F97" s="8" t="n">
        <v>1</v>
      </c>
      <c r="G97" s="18" t="n">
        <f aca="false">C97*(1+IF(A97&gt;=Inputs!$B$5,Inputs!$B$4,0))*(1+Inputs!$B$2*MAX(E97,F97*Inputs!$B$3))</f>
        <v>402.4</v>
      </c>
      <c r="H97" s="18" t="n">
        <f aca="false">C97*(1+IF(A97&gt;=Inputs!$C$5,Inputs!$C$4,0))*(1+Inputs!$C$2*MAX(E97,F97*Inputs!$C$3))</f>
        <v>603.6</v>
      </c>
      <c r="I97" s="18" t="n">
        <f aca="false">C97*(1+IF(A97&gt;=Inputs!$D$5,Inputs!$D$4,0))*(1+Inputs!$D$2*MAX(E97,F97*Inputs!$D$3))</f>
        <v>402.4</v>
      </c>
    </row>
    <row r="98" customFormat="false" ht="15" hidden="false" customHeight="false" outlineLevel="0" collapsed="false">
      <c r="A98" s="16" t="n">
        <v>45570</v>
      </c>
      <c r="B98" s="8" t="str">
        <f aca="false">TEXT(A98,"yyyy-mm")</f>
        <v>2024-10</v>
      </c>
      <c r="C98" s="17" t="n">
        <v>402.4</v>
      </c>
      <c r="D98" s="8"/>
      <c r="E98" s="8" t="n">
        <v>0</v>
      </c>
      <c r="F98" s="8" t="n">
        <v>1</v>
      </c>
      <c r="G98" s="18" t="n">
        <f aca="false">C98*(1+IF(A98&gt;=Inputs!$B$5,Inputs!$B$4,0))*(1+Inputs!$B$2*MAX(E98,F98*Inputs!$B$3))</f>
        <v>402.4</v>
      </c>
      <c r="H98" s="18" t="n">
        <f aca="false">C98*(1+IF(A98&gt;=Inputs!$C$5,Inputs!$C$4,0))*(1+Inputs!$C$2*MAX(E98,F98*Inputs!$C$3))</f>
        <v>603.6</v>
      </c>
      <c r="I98" s="18" t="n">
        <f aca="false">C98*(1+IF(A98&gt;=Inputs!$D$5,Inputs!$D$4,0))*(1+Inputs!$D$2*MAX(E98,F98*Inputs!$D$3))</f>
        <v>402.4</v>
      </c>
    </row>
    <row r="99" customFormat="false" ht="15" hidden="false" customHeight="false" outlineLevel="0" collapsed="false">
      <c r="A99" s="16" t="n">
        <v>45571</v>
      </c>
      <c r="B99" s="8" t="str">
        <f aca="false">TEXT(A99,"yyyy-mm")</f>
        <v>2024-10</v>
      </c>
      <c r="C99" s="17" t="n">
        <v>402.4</v>
      </c>
      <c r="D99" s="8"/>
      <c r="E99" s="8" t="n">
        <v>0</v>
      </c>
      <c r="F99" s="8" t="n">
        <v>0</v>
      </c>
      <c r="G99" s="18" t="n">
        <f aca="false">C99*(1+IF(A99&gt;=Inputs!$B$5,Inputs!$B$4,0))*(1+Inputs!$B$2*MAX(E99,F99*Inputs!$B$3))</f>
        <v>402.4</v>
      </c>
      <c r="H99" s="18" t="n">
        <f aca="false">C99*(1+IF(A99&gt;=Inputs!$C$5,Inputs!$C$4,0))*(1+Inputs!$C$2*MAX(E99,F99*Inputs!$C$3))</f>
        <v>402.4</v>
      </c>
      <c r="I99" s="18" t="n">
        <f aca="false">C99*(1+IF(A99&gt;=Inputs!$D$5,Inputs!$D$4,0))*(1+Inputs!$D$2*MAX(E99,F99*Inputs!$D$3))</f>
        <v>402.4</v>
      </c>
    </row>
    <row r="100" customFormat="false" ht="15" hidden="false" customHeight="false" outlineLevel="0" collapsed="false">
      <c r="A100" s="16" t="n">
        <v>45572</v>
      </c>
      <c r="B100" s="8" t="str">
        <f aca="false">TEXT(A100,"yyyy-mm")</f>
        <v>2024-10</v>
      </c>
      <c r="C100" s="17" t="n">
        <v>402.4</v>
      </c>
      <c r="D100" s="8"/>
      <c r="E100" s="8" t="n">
        <v>0</v>
      </c>
      <c r="F100" s="8" t="n">
        <v>0</v>
      </c>
      <c r="G100" s="18" t="n">
        <f aca="false">C100*(1+IF(A100&gt;=Inputs!$B$5,Inputs!$B$4,0))*(1+Inputs!$B$2*MAX(E100,F100*Inputs!$B$3))</f>
        <v>402.4</v>
      </c>
      <c r="H100" s="18" t="n">
        <f aca="false">C100*(1+IF(A100&gt;=Inputs!$C$5,Inputs!$C$4,0))*(1+Inputs!$C$2*MAX(E100,F100*Inputs!$C$3))</f>
        <v>402.4</v>
      </c>
      <c r="I100" s="18" t="n">
        <f aca="false">C100*(1+IF(A100&gt;=Inputs!$D$5,Inputs!$D$4,0))*(1+Inputs!$D$2*MAX(E100,F100*Inputs!$D$3))</f>
        <v>402.4</v>
      </c>
    </row>
    <row r="101" customFormat="false" ht="15" hidden="false" customHeight="false" outlineLevel="0" collapsed="false">
      <c r="A101" s="16" t="n">
        <v>45573</v>
      </c>
      <c r="B101" s="8" t="str">
        <f aca="false">TEXT(A101,"yyyy-mm")</f>
        <v>2024-10</v>
      </c>
      <c r="C101" s="17" t="n">
        <v>402.4</v>
      </c>
      <c r="D101" s="8"/>
      <c r="E101" s="8" t="n">
        <v>0</v>
      </c>
      <c r="F101" s="8" t="n">
        <v>0</v>
      </c>
      <c r="G101" s="18" t="n">
        <f aca="false">C101*(1+IF(A101&gt;=Inputs!$B$5,Inputs!$B$4,0))*(1+Inputs!$B$2*MAX(E101,F101*Inputs!$B$3))</f>
        <v>402.4</v>
      </c>
      <c r="H101" s="18" t="n">
        <f aca="false">C101*(1+IF(A101&gt;=Inputs!$C$5,Inputs!$C$4,0))*(1+Inputs!$C$2*MAX(E101,F101*Inputs!$C$3))</f>
        <v>402.4</v>
      </c>
      <c r="I101" s="18" t="n">
        <f aca="false">C101*(1+IF(A101&gt;=Inputs!$D$5,Inputs!$D$4,0))*(1+Inputs!$D$2*MAX(E101,F101*Inputs!$D$3))</f>
        <v>402.4</v>
      </c>
    </row>
    <row r="102" customFormat="false" ht="15" hidden="false" customHeight="false" outlineLevel="0" collapsed="false">
      <c r="A102" s="16" t="n">
        <v>45574</v>
      </c>
      <c r="B102" s="8" t="str">
        <f aca="false">TEXT(A102,"yyyy-mm")</f>
        <v>2024-10</v>
      </c>
      <c r="C102" s="17" t="n">
        <v>402.4</v>
      </c>
      <c r="D102" s="8"/>
      <c r="E102" s="8" t="n">
        <v>0</v>
      </c>
      <c r="F102" s="8" t="n">
        <v>0</v>
      </c>
      <c r="G102" s="18" t="n">
        <f aca="false">C102*(1+IF(A102&gt;=Inputs!$B$5,Inputs!$B$4,0))*(1+Inputs!$B$2*MAX(E102,F102*Inputs!$B$3))</f>
        <v>402.4</v>
      </c>
      <c r="H102" s="18" t="n">
        <f aca="false">C102*(1+IF(A102&gt;=Inputs!$C$5,Inputs!$C$4,0))*(1+Inputs!$C$2*MAX(E102,F102*Inputs!$C$3))</f>
        <v>402.4</v>
      </c>
      <c r="I102" s="18" t="n">
        <f aca="false">C102*(1+IF(A102&gt;=Inputs!$D$5,Inputs!$D$4,0))*(1+Inputs!$D$2*MAX(E102,F102*Inputs!$D$3))</f>
        <v>402.4</v>
      </c>
    </row>
    <row r="103" customFormat="false" ht="15" hidden="false" customHeight="false" outlineLevel="0" collapsed="false">
      <c r="A103" s="16" t="n">
        <v>45575</v>
      </c>
      <c r="B103" s="8" t="str">
        <f aca="false">TEXT(A103,"yyyy-mm")</f>
        <v>2024-10</v>
      </c>
      <c r="C103" s="17" t="n">
        <v>402.4</v>
      </c>
      <c r="D103" s="8"/>
      <c r="E103" s="8" t="n">
        <v>0</v>
      </c>
      <c r="F103" s="8" t="n">
        <v>0</v>
      </c>
      <c r="G103" s="18" t="n">
        <f aca="false">C103*(1+IF(A103&gt;=Inputs!$B$5,Inputs!$B$4,0))*(1+Inputs!$B$2*MAX(E103,F103*Inputs!$B$3))</f>
        <v>402.4</v>
      </c>
      <c r="H103" s="18" t="n">
        <f aca="false">C103*(1+IF(A103&gt;=Inputs!$C$5,Inputs!$C$4,0))*(1+Inputs!$C$2*MAX(E103,F103*Inputs!$C$3))</f>
        <v>402.4</v>
      </c>
      <c r="I103" s="18" t="n">
        <f aca="false">C103*(1+IF(A103&gt;=Inputs!$D$5,Inputs!$D$4,0))*(1+Inputs!$D$2*MAX(E103,F103*Inputs!$D$3))</f>
        <v>402.4</v>
      </c>
    </row>
    <row r="104" customFormat="false" ht="15" hidden="false" customHeight="false" outlineLevel="0" collapsed="false">
      <c r="A104" s="16" t="n">
        <v>45576</v>
      </c>
      <c r="B104" s="8" t="str">
        <f aca="false">TEXT(A104,"yyyy-mm")</f>
        <v>2024-10</v>
      </c>
      <c r="C104" s="17" t="n">
        <v>402.4</v>
      </c>
      <c r="D104" s="8"/>
      <c r="E104" s="8" t="n">
        <v>0</v>
      </c>
      <c r="F104" s="8" t="n">
        <v>0</v>
      </c>
      <c r="G104" s="18" t="n">
        <f aca="false">C104*(1+IF(A104&gt;=Inputs!$B$5,Inputs!$B$4,0))*(1+Inputs!$B$2*MAX(E104,F104*Inputs!$B$3))</f>
        <v>402.4</v>
      </c>
      <c r="H104" s="18" t="n">
        <f aca="false">C104*(1+IF(A104&gt;=Inputs!$C$5,Inputs!$C$4,0))*(1+Inputs!$C$2*MAX(E104,F104*Inputs!$C$3))</f>
        <v>402.4</v>
      </c>
      <c r="I104" s="18" t="n">
        <f aca="false">C104*(1+IF(A104&gt;=Inputs!$D$5,Inputs!$D$4,0))*(1+Inputs!$D$2*MAX(E104,F104*Inputs!$D$3))</f>
        <v>402.4</v>
      </c>
    </row>
    <row r="105" customFormat="false" ht="15" hidden="false" customHeight="false" outlineLevel="0" collapsed="false">
      <c r="A105" s="16" t="n">
        <v>45577</v>
      </c>
      <c r="B105" s="8" t="str">
        <f aca="false">TEXT(A105,"yyyy-mm")</f>
        <v>2024-10</v>
      </c>
      <c r="C105" s="17" t="n">
        <v>402.4</v>
      </c>
      <c r="D105" s="8"/>
      <c r="E105" s="8" t="n">
        <v>0</v>
      </c>
      <c r="F105" s="8" t="n">
        <v>0</v>
      </c>
      <c r="G105" s="18" t="n">
        <f aca="false">C105*(1+IF(A105&gt;=Inputs!$B$5,Inputs!$B$4,0))*(1+Inputs!$B$2*MAX(E105,F105*Inputs!$B$3))</f>
        <v>402.4</v>
      </c>
      <c r="H105" s="18" t="n">
        <f aca="false">C105*(1+IF(A105&gt;=Inputs!$C$5,Inputs!$C$4,0))*(1+Inputs!$C$2*MAX(E105,F105*Inputs!$C$3))</f>
        <v>402.4</v>
      </c>
      <c r="I105" s="18" t="n">
        <f aca="false">C105*(1+IF(A105&gt;=Inputs!$D$5,Inputs!$D$4,0))*(1+Inputs!$D$2*MAX(E105,F105*Inputs!$D$3))</f>
        <v>402.4</v>
      </c>
    </row>
    <row r="106" customFormat="false" ht="15" hidden="false" customHeight="false" outlineLevel="0" collapsed="false">
      <c r="A106" s="16" t="n">
        <v>45578</v>
      </c>
      <c r="B106" s="8" t="str">
        <f aca="false">TEXT(A106,"yyyy-mm")</f>
        <v>2024-10</v>
      </c>
      <c r="C106" s="17" t="n">
        <v>402.4</v>
      </c>
      <c r="D106" s="8"/>
      <c r="E106" s="8" t="n">
        <v>0</v>
      </c>
      <c r="F106" s="8" t="n">
        <v>0</v>
      </c>
      <c r="G106" s="18" t="n">
        <f aca="false">C106*(1+IF(A106&gt;=Inputs!$B$5,Inputs!$B$4,0))*(1+Inputs!$B$2*MAX(E106,F106*Inputs!$B$3))</f>
        <v>402.4</v>
      </c>
      <c r="H106" s="18" t="n">
        <f aca="false">C106*(1+IF(A106&gt;=Inputs!$C$5,Inputs!$C$4,0))*(1+Inputs!$C$2*MAX(E106,F106*Inputs!$C$3))</f>
        <v>402.4</v>
      </c>
      <c r="I106" s="18" t="n">
        <f aca="false">C106*(1+IF(A106&gt;=Inputs!$D$5,Inputs!$D$4,0))*(1+Inputs!$D$2*MAX(E106,F106*Inputs!$D$3))</f>
        <v>402.4</v>
      </c>
    </row>
    <row r="107" customFormat="false" ht="15" hidden="false" customHeight="false" outlineLevel="0" collapsed="false">
      <c r="A107" s="16" t="n">
        <v>45579</v>
      </c>
      <c r="B107" s="8" t="str">
        <f aca="false">TEXT(A107,"yyyy-mm")</f>
        <v>2024-10</v>
      </c>
      <c r="C107" s="17" t="n">
        <v>402.4</v>
      </c>
      <c r="D107" s="8"/>
      <c r="E107" s="8" t="n">
        <v>0</v>
      </c>
      <c r="F107" s="8" t="n">
        <v>0</v>
      </c>
      <c r="G107" s="18" t="n">
        <f aca="false">C107*(1+IF(A107&gt;=Inputs!$B$5,Inputs!$B$4,0))*(1+Inputs!$B$2*MAX(E107,F107*Inputs!$B$3))</f>
        <v>402.4</v>
      </c>
      <c r="H107" s="18" t="n">
        <f aca="false">C107*(1+IF(A107&gt;=Inputs!$C$5,Inputs!$C$4,0))*(1+Inputs!$C$2*MAX(E107,F107*Inputs!$C$3))</f>
        <v>402.4</v>
      </c>
      <c r="I107" s="18" t="n">
        <f aca="false">C107*(1+IF(A107&gt;=Inputs!$D$5,Inputs!$D$4,0))*(1+Inputs!$D$2*MAX(E107,F107*Inputs!$D$3))</f>
        <v>402.4</v>
      </c>
    </row>
    <row r="108" customFormat="false" ht="15" hidden="false" customHeight="false" outlineLevel="0" collapsed="false">
      <c r="A108" s="16" t="n">
        <v>45580</v>
      </c>
      <c r="B108" s="8" t="str">
        <f aca="false">TEXT(A108,"yyyy-mm")</f>
        <v>2024-10</v>
      </c>
      <c r="C108" s="17" t="n">
        <v>402.4</v>
      </c>
      <c r="D108" s="8"/>
      <c r="E108" s="8" t="n">
        <v>0</v>
      </c>
      <c r="F108" s="8" t="n">
        <v>0</v>
      </c>
      <c r="G108" s="18" t="n">
        <f aca="false">C108*(1+IF(A108&gt;=Inputs!$B$5,Inputs!$B$4,0))*(1+Inputs!$B$2*MAX(E108,F108*Inputs!$B$3))</f>
        <v>402.4</v>
      </c>
      <c r="H108" s="18" t="n">
        <f aca="false">C108*(1+IF(A108&gt;=Inputs!$C$5,Inputs!$C$4,0))*(1+Inputs!$C$2*MAX(E108,F108*Inputs!$C$3))</f>
        <v>402.4</v>
      </c>
      <c r="I108" s="18" t="n">
        <f aca="false">C108*(1+IF(A108&gt;=Inputs!$D$5,Inputs!$D$4,0))*(1+Inputs!$D$2*MAX(E108,F108*Inputs!$D$3))</f>
        <v>402.4</v>
      </c>
    </row>
    <row r="109" customFormat="false" ht="15" hidden="false" customHeight="false" outlineLevel="0" collapsed="false">
      <c r="A109" s="16" t="n">
        <v>45581</v>
      </c>
      <c r="B109" s="8" t="str">
        <f aca="false">TEXT(A109,"yyyy-mm")</f>
        <v>2024-10</v>
      </c>
      <c r="C109" s="17" t="n">
        <v>402.4</v>
      </c>
      <c r="D109" s="8"/>
      <c r="E109" s="8" t="n">
        <v>0</v>
      </c>
      <c r="F109" s="8" t="n">
        <v>0</v>
      </c>
      <c r="G109" s="18" t="n">
        <f aca="false">C109*(1+IF(A109&gt;=Inputs!$B$5,Inputs!$B$4,0))*(1+Inputs!$B$2*MAX(E109,F109*Inputs!$B$3))</f>
        <v>402.4</v>
      </c>
      <c r="H109" s="18" t="n">
        <f aca="false">C109*(1+IF(A109&gt;=Inputs!$C$5,Inputs!$C$4,0))*(1+Inputs!$C$2*MAX(E109,F109*Inputs!$C$3))</f>
        <v>402.4</v>
      </c>
      <c r="I109" s="18" t="n">
        <f aca="false">C109*(1+IF(A109&gt;=Inputs!$D$5,Inputs!$D$4,0))*(1+Inputs!$D$2*MAX(E109,F109*Inputs!$D$3))</f>
        <v>402.4</v>
      </c>
    </row>
    <row r="110" customFormat="false" ht="15" hidden="false" customHeight="false" outlineLevel="0" collapsed="false">
      <c r="A110" s="16" t="n">
        <v>45582</v>
      </c>
      <c r="B110" s="8" t="str">
        <f aca="false">TEXT(A110,"yyyy-mm")</f>
        <v>2024-10</v>
      </c>
      <c r="C110" s="17" t="n">
        <v>402.4</v>
      </c>
      <c r="D110" s="8"/>
      <c r="E110" s="8" t="n">
        <v>0</v>
      </c>
      <c r="F110" s="8" t="n">
        <v>0</v>
      </c>
      <c r="G110" s="18" t="n">
        <f aca="false">C110*(1+IF(A110&gt;=Inputs!$B$5,Inputs!$B$4,0))*(1+Inputs!$B$2*MAX(E110,F110*Inputs!$B$3))</f>
        <v>402.4</v>
      </c>
      <c r="H110" s="18" t="n">
        <f aca="false">C110*(1+IF(A110&gt;=Inputs!$C$5,Inputs!$C$4,0))*(1+Inputs!$C$2*MAX(E110,F110*Inputs!$C$3))</f>
        <v>402.4</v>
      </c>
      <c r="I110" s="18" t="n">
        <f aca="false">C110*(1+IF(A110&gt;=Inputs!$D$5,Inputs!$D$4,0))*(1+Inputs!$D$2*MAX(E110,F110*Inputs!$D$3))</f>
        <v>402.4</v>
      </c>
    </row>
    <row r="111" customFormat="false" ht="15" hidden="false" customHeight="false" outlineLevel="0" collapsed="false">
      <c r="A111" s="16" t="n">
        <v>45583</v>
      </c>
      <c r="B111" s="8" t="str">
        <f aca="false">TEXT(A111,"yyyy-mm")</f>
        <v>2024-10</v>
      </c>
      <c r="C111" s="17" t="n">
        <v>402.4</v>
      </c>
      <c r="D111" s="8"/>
      <c r="E111" s="8" t="n">
        <v>0</v>
      </c>
      <c r="F111" s="8" t="n">
        <v>0</v>
      </c>
      <c r="G111" s="18" t="n">
        <f aca="false">C111*(1+IF(A111&gt;=Inputs!$B$5,Inputs!$B$4,0))*(1+Inputs!$B$2*MAX(E111,F111*Inputs!$B$3))</f>
        <v>402.4</v>
      </c>
      <c r="H111" s="18" t="n">
        <f aca="false">C111*(1+IF(A111&gt;=Inputs!$C$5,Inputs!$C$4,0))*(1+Inputs!$C$2*MAX(E111,F111*Inputs!$C$3))</f>
        <v>402.4</v>
      </c>
      <c r="I111" s="18" t="n">
        <f aca="false">C111*(1+IF(A111&gt;=Inputs!$D$5,Inputs!$D$4,0))*(1+Inputs!$D$2*MAX(E111,F111*Inputs!$D$3))</f>
        <v>402.4</v>
      </c>
    </row>
    <row r="112" customFormat="false" ht="15" hidden="false" customHeight="false" outlineLevel="0" collapsed="false">
      <c r="A112" s="16" t="n">
        <v>45584</v>
      </c>
      <c r="B112" s="8" t="str">
        <f aca="false">TEXT(A112,"yyyy-mm")</f>
        <v>2024-10</v>
      </c>
      <c r="C112" s="17" t="n">
        <v>402.4</v>
      </c>
      <c r="D112" s="8"/>
      <c r="E112" s="8" t="n">
        <v>0</v>
      </c>
      <c r="F112" s="8" t="n">
        <v>0</v>
      </c>
      <c r="G112" s="18" t="n">
        <f aca="false">C112*(1+IF(A112&gt;=Inputs!$B$5,Inputs!$B$4,0))*(1+Inputs!$B$2*MAX(E112,F112*Inputs!$B$3))</f>
        <v>402.4</v>
      </c>
      <c r="H112" s="18" t="n">
        <f aca="false">C112*(1+IF(A112&gt;=Inputs!$C$5,Inputs!$C$4,0))*(1+Inputs!$C$2*MAX(E112,F112*Inputs!$C$3))</f>
        <v>402.4</v>
      </c>
      <c r="I112" s="18" t="n">
        <f aca="false">C112*(1+IF(A112&gt;=Inputs!$D$5,Inputs!$D$4,0))*(1+Inputs!$D$2*MAX(E112,F112*Inputs!$D$3))</f>
        <v>402.4</v>
      </c>
    </row>
    <row r="113" customFormat="false" ht="15" hidden="false" customHeight="false" outlineLevel="0" collapsed="false">
      <c r="A113" s="16" t="n">
        <v>45585</v>
      </c>
      <c r="B113" s="8" t="str">
        <f aca="false">TEXT(A113,"yyyy-mm")</f>
        <v>2024-10</v>
      </c>
      <c r="C113" s="17" t="n">
        <v>402.4</v>
      </c>
      <c r="D113" s="8"/>
      <c r="E113" s="8" t="n">
        <v>0</v>
      </c>
      <c r="F113" s="8" t="n">
        <v>0</v>
      </c>
      <c r="G113" s="18" t="n">
        <f aca="false">C113*(1+IF(A113&gt;=Inputs!$B$5,Inputs!$B$4,0))*(1+Inputs!$B$2*MAX(E113,F113*Inputs!$B$3))</f>
        <v>402.4</v>
      </c>
      <c r="H113" s="18" t="n">
        <f aca="false">C113*(1+IF(A113&gt;=Inputs!$C$5,Inputs!$C$4,0))*(1+Inputs!$C$2*MAX(E113,F113*Inputs!$C$3))</f>
        <v>402.4</v>
      </c>
      <c r="I113" s="18" t="n">
        <f aca="false">C113*(1+IF(A113&gt;=Inputs!$D$5,Inputs!$D$4,0))*(1+Inputs!$D$2*MAX(E113,F113*Inputs!$D$3))</f>
        <v>402.4</v>
      </c>
    </row>
    <row r="114" customFormat="false" ht="15" hidden="false" customHeight="false" outlineLevel="0" collapsed="false">
      <c r="A114" s="16" t="n">
        <v>45586</v>
      </c>
      <c r="B114" s="8" t="str">
        <f aca="false">TEXT(A114,"yyyy-mm")</f>
        <v>2024-10</v>
      </c>
      <c r="C114" s="17" t="n">
        <v>402.4</v>
      </c>
      <c r="D114" s="8"/>
      <c r="E114" s="8" t="n">
        <v>0</v>
      </c>
      <c r="F114" s="8" t="n">
        <v>0</v>
      </c>
      <c r="G114" s="18" t="n">
        <f aca="false">C114*(1+IF(A114&gt;=Inputs!$B$5,Inputs!$B$4,0))*(1+Inputs!$B$2*MAX(E114,F114*Inputs!$B$3))</f>
        <v>402.4</v>
      </c>
      <c r="H114" s="18" t="n">
        <f aca="false">C114*(1+IF(A114&gt;=Inputs!$C$5,Inputs!$C$4,0))*(1+Inputs!$C$2*MAX(E114,F114*Inputs!$C$3))</f>
        <v>402.4</v>
      </c>
      <c r="I114" s="18" t="n">
        <f aca="false">C114*(1+IF(A114&gt;=Inputs!$D$5,Inputs!$D$4,0))*(1+Inputs!$D$2*MAX(E114,F114*Inputs!$D$3))</f>
        <v>402.4</v>
      </c>
    </row>
    <row r="115" customFormat="false" ht="15" hidden="false" customHeight="false" outlineLevel="0" collapsed="false">
      <c r="A115" s="16" t="n">
        <v>45587</v>
      </c>
      <c r="B115" s="8" t="str">
        <f aca="false">TEXT(A115,"yyyy-mm")</f>
        <v>2024-10</v>
      </c>
      <c r="C115" s="17" t="n">
        <v>402.4</v>
      </c>
      <c r="D115" s="8"/>
      <c r="E115" s="8" t="n">
        <v>0</v>
      </c>
      <c r="F115" s="8" t="n">
        <v>0</v>
      </c>
      <c r="G115" s="18" t="n">
        <f aca="false">C115*(1+IF(A115&gt;=Inputs!$B$5,Inputs!$B$4,0))*(1+Inputs!$B$2*MAX(E115,F115*Inputs!$B$3))</f>
        <v>402.4</v>
      </c>
      <c r="H115" s="18" t="n">
        <f aca="false">C115*(1+IF(A115&gt;=Inputs!$C$5,Inputs!$C$4,0))*(1+Inputs!$C$2*MAX(E115,F115*Inputs!$C$3))</f>
        <v>402.4</v>
      </c>
      <c r="I115" s="18" t="n">
        <f aca="false">C115*(1+IF(A115&gt;=Inputs!$D$5,Inputs!$D$4,0))*(1+Inputs!$D$2*MAX(E115,F115*Inputs!$D$3))</f>
        <v>402.4</v>
      </c>
    </row>
    <row r="116" customFormat="false" ht="15" hidden="false" customHeight="false" outlineLevel="0" collapsed="false">
      <c r="A116" s="16" t="n">
        <v>45588</v>
      </c>
      <c r="B116" s="8" t="str">
        <f aca="false">TEXT(A116,"yyyy-mm")</f>
        <v>2024-10</v>
      </c>
      <c r="C116" s="17" t="n">
        <v>402.4</v>
      </c>
      <c r="D116" s="8"/>
      <c r="E116" s="8" t="n">
        <v>0</v>
      </c>
      <c r="F116" s="8" t="n">
        <v>0</v>
      </c>
      <c r="G116" s="18" t="n">
        <f aca="false">C116*(1+IF(A116&gt;=Inputs!$B$5,Inputs!$B$4,0))*(1+Inputs!$B$2*MAX(E116,F116*Inputs!$B$3))</f>
        <v>402.4</v>
      </c>
      <c r="H116" s="18" t="n">
        <f aca="false">C116*(1+IF(A116&gt;=Inputs!$C$5,Inputs!$C$4,0))*(1+Inputs!$C$2*MAX(E116,F116*Inputs!$C$3))</f>
        <v>402.4</v>
      </c>
      <c r="I116" s="18" t="n">
        <f aca="false">C116*(1+IF(A116&gt;=Inputs!$D$5,Inputs!$D$4,0))*(1+Inputs!$D$2*MAX(E116,F116*Inputs!$D$3))</f>
        <v>402.4</v>
      </c>
    </row>
    <row r="117" customFormat="false" ht="15" hidden="false" customHeight="false" outlineLevel="0" collapsed="false">
      <c r="A117" s="16" t="n">
        <v>45589</v>
      </c>
      <c r="B117" s="8" t="str">
        <f aca="false">TEXT(A117,"yyyy-mm")</f>
        <v>2024-10</v>
      </c>
      <c r="C117" s="17" t="n">
        <v>402.4</v>
      </c>
      <c r="D117" s="8"/>
      <c r="E117" s="8" t="n">
        <v>0</v>
      </c>
      <c r="F117" s="8" t="n">
        <v>0</v>
      </c>
      <c r="G117" s="18" t="n">
        <f aca="false">C117*(1+IF(A117&gt;=Inputs!$B$5,Inputs!$B$4,0))*(1+Inputs!$B$2*MAX(E117,F117*Inputs!$B$3))</f>
        <v>402.4</v>
      </c>
      <c r="H117" s="18" t="n">
        <f aca="false">C117*(1+IF(A117&gt;=Inputs!$C$5,Inputs!$C$4,0))*(1+Inputs!$C$2*MAX(E117,F117*Inputs!$C$3))</f>
        <v>402.4</v>
      </c>
      <c r="I117" s="18" t="n">
        <f aca="false">C117*(1+IF(A117&gt;=Inputs!$D$5,Inputs!$D$4,0))*(1+Inputs!$D$2*MAX(E117,F117*Inputs!$D$3))</f>
        <v>402.4</v>
      </c>
    </row>
    <row r="118" customFormat="false" ht="15" hidden="false" customHeight="false" outlineLevel="0" collapsed="false">
      <c r="A118" s="16" t="n">
        <v>45590</v>
      </c>
      <c r="B118" s="8" t="str">
        <f aca="false">TEXT(A118,"yyyy-mm")</f>
        <v>2024-10</v>
      </c>
      <c r="C118" s="17" t="n">
        <v>402.4</v>
      </c>
      <c r="D118" s="8"/>
      <c r="E118" s="8" t="n">
        <v>0</v>
      </c>
      <c r="F118" s="8" t="n">
        <v>0</v>
      </c>
      <c r="G118" s="18" t="n">
        <f aca="false">C118*(1+IF(A118&gt;=Inputs!$B$5,Inputs!$B$4,0))*(1+Inputs!$B$2*MAX(E118,F118*Inputs!$B$3))</f>
        <v>402.4</v>
      </c>
      <c r="H118" s="18" t="n">
        <f aca="false">C118*(1+IF(A118&gt;=Inputs!$C$5,Inputs!$C$4,0))*(1+Inputs!$C$2*MAX(E118,F118*Inputs!$C$3))</f>
        <v>402.4</v>
      </c>
      <c r="I118" s="18" t="n">
        <f aca="false">C118*(1+IF(A118&gt;=Inputs!$D$5,Inputs!$D$4,0))*(1+Inputs!$D$2*MAX(E118,F118*Inputs!$D$3))</f>
        <v>402.4</v>
      </c>
    </row>
    <row r="119" customFormat="false" ht="15" hidden="false" customHeight="false" outlineLevel="0" collapsed="false">
      <c r="A119" s="16" t="n">
        <v>45591</v>
      </c>
      <c r="B119" s="8" t="str">
        <f aca="false">TEXT(A119,"yyyy-mm")</f>
        <v>2024-10</v>
      </c>
      <c r="C119" s="17" t="n">
        <v>402.4</v>
      </c>
      <c r="D119" s="8"/>
      <c r="E119" s="8" t="n">
        <v>0</v>
      </c>
      <c r="F119" s="8" t="n">
        <v>0</v>
      </c>
      <c r="G119" s="18" t="n">
        <f aca="false">C119*(1+IF(A119&gt;=Inputs!$B$5,Inputs!$B$4,0))*(1+Inputs!$B$2*MAX(E119,F119*Inputs!$B$3))</f>
        <v>402.4</v>
      </c>
      <c r="H119" s="18" t="n">
        <f aca="false">C119*(1+IF(A119&gt;=Inputs!$C$5,Inputs!$C$4,0))*(1+Inputs!$C$2*MAX(E119,F119*Inputs!$C$3))</f>
        <v>402.4</v>
      </c>
      <c r="I119" s="18" t="n">
        <f aca="false">C119*(1+IF(A119&gt;=Inputs!$D$5,Inputs!$D$4,0))*(1+Inputs!$D$2*MAX(E119,F119*Inputs!$D$3))</f>
        <v>402.4</v>
      </c>
    </row>
    <row r="120" customFormat="false" ht="15" hidden="false" customHeight="false" outlineLevel="0" collapsed="false">
      <c r="A120" s="16" t="n">
        <v>45592</v>
      </c>
      <c r="B120" s="8" t="str">
        <f aca="false">TEXT(A120,"yyyy-mm")</f>
        <v>2024-10</v>
      </c>
      <c r="C120" s="17" t="n">
        <v>402.4</v>
      </c>
      <c r="D120" s="8"/>
      <c r="E120" s="8" t="n">
        <v>0</v>
      </c>
      <c r="F120" s="8" t="n">
        <v>0</v>
      </c>
      <c r="G120" s="18" t="n">
        <f aca="false">C120*(1+IF(A120&gt;=Inputs!$B$5,Inputs!$B$4,0))*(1+Inputs!$B$2*MAX(E120,F120*Inputs!$B$3))</f>
        <v>402.4</v>
      </c>
      <c r="H120" s="18" t="n">
        <f aca="false">C120*(1+IF(A120&gt;=Inputs!$C$5,Inputs!$C$4,0))*(1+Inputs!$C$2*MAX(E120,F120*Inputs!$C$3))</f>
        <v>402.4</v>
      </c>
      <c r="I120" s="18" t="n">
        <f aca="false">C120*(1+IF(A120&gt;=Inputs!$D$5,Inputs!$D$4,0))*(1+Inputs!$D$2*MAX(E120,F120*Inputs!$D$3))</f>
        <v>402.4</v>
      </c>
    </row>
    <row r="121" customFormat="false" ht="15" hidden="false" customHeight="false" outlineLevel="0" collapsed="false">
      <c r="A121" s="16" t="n">
        <v>45593</v>
      </c>
      <c r="B121" s="8" t="str">
        <f aca="false">TEXT(A121,"yyyy-mm")</f>
        <v>2024-10</v>
      </c>
      <c r="C121" s="17" t="n">
        <v>402.4</v>
      </c>
      <c r="D121" s="8"/>
      <c r="E121" s="8" t="n">
        <v>0</v>
      </c>
      <c r="F121" s="8" t="n">
        <v>0</v>
      </c>
      <c r="G121" s="18" t="n">
        <f aca="false">C121*(1+IF(A121&gt;=Inputs!$B$5,Inputs!$B$4,0))*(1+Inputs!$B$2*MAX(E121,F121*Inputs!$B$3))</f>
        <v>402.4</v>
      </c>
      <c r="H121" s="18" t="n">
        <f aca="false">C121*(1+IF(A121&gt;=Inputs!$C$5,Inputs!$C$4,0))*(1+Inputs!$C$2*MAX(E121,F121*Inputs!$C$3))</f>
        <v>402.4</v>
      </c>
      <c r="I121" s="18" t="n">
        <f aca="false">C121*(1+IF(A121&gt;=Inputs!$D$5,Inputs!$D$4,0))*(1+Inputs!$D$2*MAX(E121,F121*Inputs!$D$3))</f>
        <v>402.4</v>
      </c>
    </row>
    <row r="122" customFormat="false" ht="15" hidden="false" customHeight="false" outlineLevel="0" collapsed="false">
      <c r="A122" s="16" t="n">
        <v>45594</v>
      </c>
      <c r="B122" s="8" t="str">
        <f aca="false">TEXT(A122,"yyyy-mm")</f>
        <v>2024-10</v>
      </c>
      <c r="C122" s="17" t="n">
        <v>402.4</v>
      </c>
      <c r="D122" s="8"/>
      <c r="E122" s="8" t="n">
        <v>0</v>
      </c>
      <c r="F122" s="8" t="n">
        <v>0</v>
      </c>
      <c r="G122" s="18" t="n">
        <f aca="false">C122*(1+IF(A122&gt;=Inputs!$B$5,Inputs!$B$4,0))*(1+Inputs!$B$2*MAX(E122,F122*Inputs!$B$3))</f>
        <v>402.4</v>
      </c>
      <c r="H122" s="18" t="n">
        <f aca="false">C122*(1+IF(A122&gt;=Inputs!$C$5,Inputs!$C$4,0))*(1+Inputs!$C$2*MAX(E122,F122*Inputs!$C$3))</f>
        <v>402.4</v>
      </c>
      <c r="I122" s="18" t="n">
        <f aca="false">C122*(1+IF(A122&gt;=Inputs!$D$5,Inputs!$D$4,0))*(1+Inputs!$D$2*MAX(E122,F122*Inputs!$D$3))</f>
        <v>402.4</v>
      </c>
    </row>
    <row r="123" customFormat="false" ht="15" hidden="false" customHeight="false" outlineLevel="0" collapsed="false">
      <c r="A123" s="16" t="n">
        <v>45595</v>
      </c>
      <c r="B123" s="8" t="str">
        <f aca="false">TEXT(A123,"yyyy-mm")</f>
        <v>2024-10</v>
      </c>
      <c r="C123" s="17" t="n">
        <v>402.4</v>
      </c>
      <c r="D123" s="8"/>
      <c r="E123" s="8" t="n">
        <v>0</v>
      </c>
      <c r="F123" s="8" t="n">
        <v>0</v>
      </c>
      <c r="G123" s="18" t="n">
        <f aca="false">C123*(1+IF(A123&gt;=Inputs!$B$5,Inputs!$B$4,0))*(1+Inputs!$B$2*MAX(E123,F123*Inputs!$B$3))</f>
        <v>402.4</v>
      </c>
      <c r="H123" s="18" t="n">
        <f aca="false">C123*(1+IF(A123&gt;=Inputs!$C$5,Inputs!$C$4,0))*(1+Inputs!$C$2*MAX(E123,F123*Inputs!$C$3))</f>
        <v>402.4</v>
      </c>
      <c r="I123" s="18" t="n">
        <f aca="false">C123*(1+IF(A123&gt;=Inputs!$D$5,Inputs!$D$4,0))*(1+Inputs!$D$2*MAX(E123,F123*Inputs!$D$3))</f>
        <v>402.4</v>
      </c>
    </row>
    <row r="124" customFormat="false" ht="15" hidden="false" customHeight="false" outlineLevel="0" collapsed="false">
      <c r="A124" s="16" t="n">
        <v>45596</v>
      </c>
      <c r="B124" s="8" t="str">
        <f aca="false">TEXT(A124,"yyyy-mm")</f>
        <v>2024-10</v>
      </c>
      <c r="C124" s="17" t="n">
        <v>402.4</v>
      </c>
      <c r="D124" s="8"/>
      <c r="E124" s="8" t="n">
        <v>0</v>
      </c>
      <c r="F124" s="8" t="n">
        <v>0</v>
      </c>
      <c r="G124" s="18" t="n">
        <f aca="false">C124*(1+IF(A124&gt;=Inputs!$B$5,Inputs!$B$4,0))*(1+Inputs!$B$2*MAX(E124,F124*Inputs!$B$3))</f>
        <v>402.4</v>
      </c>
      <c r="H124" s="18" t="n">
        <f aca="false">C124*(1+IF(A124&gt;=Inputs!$C$5,Inputs!$C$4,0))*(1+Inputs!$C$2*MAX(E124,F124*Inputs!$C$3))</f>
        <v>402.4</v>
      </c>
      <c r="I124" s="18" t="n">
        <f aca="false">C124*(1+IF(A124&gt;=Inputs!$D$5,Inputs!$D$4,0))*(1+Inputs!$D$2*MAX(E124,F124*Inputs!$D$3))</f>
        <v>402.4</v>
      </c>
    </row>
    <row r="125" customFormat="false" ht="15" hidden="false" customHeight="false" outlineLevel="0" collapsed="false">
      <c r="A125" s="16" t="n">
        <v>45597</v>
      </c>
      <c r="B125" s="8" t="str">
        <f aca="false">TEXT(A125,"yyyy-mm")</f>
        <v>2024-11</v>
      </c>
      <c r="C125" s="17" t="n">
        <v>402.4</v>
      </c>
      <c r="D125" s="8"/>
      <c r="E125" s="8" t="n">
        <v>0</v>
      </c>
      <c r="F125" s="8" t="n">
        <v>1</v>
      </c>
      <c r="G125" s="18" t="n">
        <f aca="false">C125*(1+IF(A125&gt;=Inputs!$B$5,Inputs!$B$4,0))*(1+Inputs!$B$2*MAX(E125,F125*Inputs!$B$3))</f>
        <v>402.4</v>
      </c>
      <c r="H125" s="18" t="n">
        <f aca="false">C125*(1+IF(A125&gt;=Inputs!$C$5,Inputs!$C$4,0))*(1+Inputs!$C$2*MAX(E125,F125*Inputs!$C$3))</f>
        <v>603.6</v>
      </c>
      <c r="I125" s="18" t="n">
        <f aca="false">C125*(1+IF(A125&gt;=Inputs!$D$5,Inputs!$D$4,0))*(1+Inputs!$D$2*MAX(E125,F125*Inputs!$D$3))</f>
        <v>402.4</v>
      </c>
    </row>
    <row r="126" customFormat="false" ht="15" hidden="false" customHeight="false" outlineLevel="0" collapsed="false">
      <c r="A126" s="16" t="n">
        <v>45598</v>
      </c>
      <c r="B126" s="8" t="str">
        <f aca="false">TEXT(A126,"yyyy-mm")</f>
        <v>2024-11</v>
      </c>
      <c r="C126" s="17" t="n">
        <v>402.4</v>
      </c>
      <c r="D126" s="8"/>
      <c r="E126" s="8" t="n">
        <v>0</v>
      </c>
      <c r="F126" s="8" t="n">
        <v>1</v>
      </c>
      <c r="G126" s="18" t="n">
        <f aca="false">C126*(1+IF(A126&gt;=Inputs!$B$5,Inputs!$B$4,0))*(1+Inputs!$B$2*MAX(E126,F126*Inputs!$B$3))</f>
        <v>402.4</v>
      </c>
      <c r="H126" s="18" t="n">
        <f aca="false">C126*(1+IF(A126&gt;=Inputs!$C$5,Inputs!$C$4,0))*(1+Inputs!$C$2*MAX(E126,F126*Inputs!$C$3))</f>
        <v>603.6</v>
      </c>
      <c r="I126" s="18" t="n">
        <f aca="false">C126*(1+IF(A126&gt;=Inputs!$D$5,Inputs!$D$4,0))*(1+Inputs!$D$2*MAX(E126,F126*Inputs!$D$3))</f>
        <v>402.4</v>
      </c>
    </row>
    <row r="127" customFormat="false" ht="15" hidden="false" customHeight="false" outlineLevel="0" collapsed="false">
      <c r="A127" s="16" t="n">
        <v>45599</v>
      </c>
      <c r="B127" s="8" t="str">
        <f aca="false">TEXT(A127,"yyyy-mm")</f>
        <v>2024-11</v>
      </c>
      <c r="C127" s="17" t="n">
        <v>402.4</v>
      </c>
      <c r="D127" s="8"/>
      <c r="E127" s="8" t="n">
        <v>0</v>
      </c>
      <c r="F127" s="8" t="n">
        <v>0</v>
      </c>
      <c r="G127" s="18" t="n">
        <f aca="false">C127*(1+IF(A127&gt;=Inputs!$B$5,Inputs!$B$4,0))*(1+Inputs!$B$2*MAX(E127,F127*Inputs!$B$3))</f>
        <v>402.4</v>
      </c>
      <c r="H127" s="18" t="n">
        <f aca="false">C127*(1+IF(A127&gt;=Inputs!$C$5,Inputs!$C$4,0))*(1+Inputs!$C$2*MAX(E127,F127*Inputs!$C$3))</f>
        <v>402.4</v>
      </c>
      <c r="I127" s="18" t="n">
        <f aca="false">C127*(1+IF(A127&gt;=Inputs!$D$5,Inputs!$D$4,0))*(1+Inputs!$D$2*MAX(E127,F127*Inputs!$D$3))</f>
        <v>402.4</v>
      </c>
    </row>
    <row r="128" customFormat="false" ht="15" hidden="false" customHeight="false" outlineLevel="0" collapsed="false">
      <c r="A128" s="16" t="n">
        <v>45600</v>
      </c>
      <c r="B128" s="8" t="str">
        <f aca="false">TEXT(A128,"yyyy-mm")</f>
        <v>2024-11</v>
      </c>
      <c r="C128" s="17" t="n">
        <v>402.4</v>
      </c>
      <c r="D128" s="8"/>
      <c r="E128" s="8" t="n">
        <v>0</v>
      </c>
      <c r="F128" s="8" t="n">
        <v>0</v>
      </c>
      <c r="G128" s="18" t="n">
        <f aca="false">C128*(1+IF(A128&gt;=Inputs!$B$5,Inputs!$B$4,0))*(1+Inputs!$B$2*MAX(E128,F128*Inputs!$B$3))</f>
        <v>402.4</v>
      </c>
      <c r="H128" s="18" t="n">
        <f aca="false">C128*(1+IF(A128&gt;=Inputs!$C$5,Inputs!$C$4,0))*(1+Inputs!$C$2*MAX(E128,F128*Inputs!$C$3))</f>
        <v>402.4</v>
      </c>
      <c r="I128" s="18" t="n">
        <f aca="false">C128*(1+IF(A128&gt;=Inputs!$D$5,Inputs!$D$4,0))*(1+Inputs!$D$2*MAX(E128,F128*Inputs!$D$3))</f>
        <v>402.4</v>
      </c>
    </row>
    <row r="129" customFormat="false" ht="15" hidden="false" customHeight="false" outlineLevel="0" collapsed="false">
      <c r="A129" s="16" t="n">
        <v>45601</v>
      </c>
      <c r="B129" s="8" t="str">
        <f aca="false">TEXT(A129,"yyyy-mm")</f>
        <v>2024-11</v>
      </c>
      <c r="C129" s="17" t="n">
        <v>402.4</v>
      </c>
      <c r="D129" s="8"/>
      <c r="E129" s="8" t="n">
        <v>0</v>
      </c>
      <c r="F129" s="8" t="n">
        <v>0</v>
      </c>
      <c r="G129" s="18" t="n">
        <f aca="false">C129*(1+IF(A129&gt;=Inputs!$B$5,Inputs!$B$4,0))*(1+Inputs!$B$2*MAX(E129,F129*Inputs!$B$3))</f>
        <v>402.4</v>
      </c>
      <c r="H129" s="18" t="n">
        <f aca="false">C129*(1+IF(A129&gt;=Inputs!$C$5,Inputs!$C$4,0))*(1+Inputs!$C$2*MAX(E129,F129*Inputs!$C$3))</f>
        <v>402.4</v>
      </c>
      <c r="I129" s="18" t="n">
        <f aca="false">C129*(1+IF(A129&gt;=Inputs!$D$5,Inputs!$D$4,0))*(1+Inputs!$D$2*MAX(E129,F129*Inputs!$D$3))</f>
        <v>402.4</v>
      </c>
    </row>
    <row r="130" customFormat="false" ht="15" hidden="false" customHeight="false" outlineLevel="0" collapsed="false">
      <c r="A130" s="16" t="n">
        <v>45602</v>
      </c>
      <c r="B130" s="8" t="str">
        <f aca="false">TEXT(A130,"yyyy-mm")</f>
        <v>2024-11</v>
      </c>
      <c r="C130" s="17" t="n">
        <v>402.4</v>
      </c>
      <c r="D130" s="8"/>
      <c r="E130" s="8" t="n">
        <v>0</v>
      </c>
      <c r="F130" s="8" t="n">
        <v>0</v>
      </c>
      <c r="G130" s="18" t="n">
        <f aca="false">C130*(1+IF(A130&gt;=Inputs!$B$5,Inputs!$B$4,0))*(1+Inputs!$B$2*MAX(E130,F130*Inputs!$B$3))</f>
        <v>402.4</v>
      </c>
      <c r="H130" s="18" t="n">
        <f aca="false">C130*(1+IF(A130&gt;=Inputs!$C$5,Inputs!$C$4,0))*(1+Inputs!$C$2*MAX(E130,F130*Inputs!$C$3))</f>
        <v>402.4</v>
      </c>
      <c r="I130" s="18" t="n">
        <f aca="false">C130*(1+IF(A130&gt;=Inputs!$D$5,Inputs!$D$4,0))*(1+Inputs!$D$2*MAX(E130,F130*Inputs!$D$3))</f>
        <v>402.4</v>
      </c>
    </row>
    <row r="131" customFormat="false" ht="15" hidden="false" customHeight="false" outlineLevel="0" collapsed="false">
      <c r="A131" s="16" t="n">
        <v>45603</v>
      </c>
      <c r="B131" s="8" t="str">
        <f aca="false">TEXT(A131,"yyyy-mm")</f>
        <v>2024-11</v>
      </c>
      <c r="C131" s="17" t="n">
        <v>402.4</v>
      </c>
      <c r="D131" s="8"/>
      <c r="E131" s="8" t="n">
        <v>0</v>
      </c>
      <c r="F131" s="8" t="n">
        <v>0</v>
      </c>
      <c r="G131" s="18" t="n">
        <f aca="false">C131*(1+IF(A131&gt;=Inputs!$B$5,Inputs!$B$4,0))*(1+Inputs!$B$2*MAX(E131,F131*Inputs!$B$3))</f>
        <v>402.4</v>
      </c>
      <c r="H131" s="18" t="n">
        <f aca="false">C131*(1+IF(A131&gt;=Inputs!$C$5,Inputs!$C$4,0))*(1+Inputs!$C$2*MAX(E131,F131*Inputs!$C$3))</f>
        <v>402.4</v>
      </c>
      <c r="I131" s="18" t="n">
        <f aca="false">C131*(1+IF(A131&gt;=Inputs!$D$5,Inputs!$D$4,0))*(1+Inputs!$D$2*MAX(E131,F131*Inputs!$D$3))</f>
        <v>402.4</v>
      </c>
    </row>
    <row r="132" customFormat="false" ht="15" hidden="false" customHeight="false" outlineLevel="0" collapsed="false">
      <c r="A132" s="16" t="n">
        <v>45604</v>
      </c>
      <c r="B132" s="8" t="str">
        <f aca="false">TEXT(A132,"yyyy-mm")</f>
        <v>2024-11</v>
      </c>
      <c r="C132" s="17" t="n">
        <v>402.4</v>
      </c>
      <c r="D132" s="8"/>
      <c r="E132" s="8" t="n">
        <v>0</v>
      </c>
      <c r="F132" s="8" t="n">
        <v>0</v>
      </c>
      <c r="G132" s="18" t="n">
        <f aca="false">C132*(1+IF(A132&gt;=Inputs!$B$5,Inputs!$B$4,0))*(1+Inputs!$B$2*MAX(E132,F132*Inputs!$B$3))</f>
        <v>402.4</v>
      </c>
      <c r="H132" s="18" t="n">
        <f aca="false">C132*(1+IF(A132&gt;=Inputs!$C$5,Inputs!$C$4,0))*(1+Inputs!$C$2*MAX(E132,F132*Inputs!$C$3))</f>
        <v>402.4</v>
      </c>
      <c r="I132" s="18" t="n">
        <f aca="false">C132*(1+IF(A132&gt;=Inputs!$D$5,Inputs!$D$4,0))*(1+Inputs!$D$2*MAX(E132,F132*Inputs!$D$3))</f>
        <v>402.4</v>
      </c>
    </row>
    <row r="133" customFormat="false" ht="15" hidden="false" customHeight="false" outlineLevel="0" collapsed="false">
      <c r="A133" s="16" t="n">
        <v>45605</v>
      </c>
      <c r="B133" s="8" t="str">
        <f aca="false">TEXT(A133,"yyyy-mm")</f>
        <v>2024-11</v>
      </c>
      <c r="C133" s="17" t="n">
        <v>402.4</v>
      </c>
      <c r="D133" s="8"/>
      <c r="E133" s="8" t="n">
        <v>0</v>
      </c>
      <c r="F133" s="8" t="n">
        <v>0</v>
      </c>
      <c r="G133" s="18" t="n">
        <f aca="false">C133*(1+IF(A133&gt;=Inputs!$B$5,Inputs!$B$4,0))*(1+Inputs!$B$2*MAX(E133,F133*Inputs!$B$3))</f>
        <v>402.4</v>
      </c>
      <c r="H133" s="18" t="n">
        <f aca="false">C133*(1+IF(A133&gt;=Inputs!$C$5,Inputs!$C$4,0))*(1+Inputs!$C$2*MAX(E133,F133*Inputs!$C$3))</f>
        <v>402.4</v>
      </c>
      <c r="I133" s="18" t="n">
        <f aca="false">C133*(1+IF(A133&gt;=Inputs!$D$5,Inputs!$D$4,0))*(1+Inputs!$D$2*MAX(E133,F133*Inputs!$D$3))</f>
        <v>402.4</v>
      </c>
    </row>
    <row r="134" customFormat="false" ht="15" hidden="false" customHeight="false" outlineLevel="0" collapsed="false">
      <c r="A134" s="16" t="n">
        <v>45606</v>
      </c>
      <c r="B134" s="8" t="str">
        <f aca="false">TEXT(A134,"yyyy-mm")</f>
        <v>2024-11</v>
      </c>
      <c r="C134" s="17" t="n">
        <v>402.4</v>
      </c>
      <c r="D134" s="8"/>
      <c r="E134" s="8" t="n">
        <v>0</v>
      </c>
      <c r="F134" s="8" t="n">
        <v>0</v>
      </c>
      <c r="G134" s="18" t="n">
        <f aca="false">C134*(1+IF(A134&gt;=Inputs!$B$5,Inputs!$B$4,0))*(1+Inputs!$B$2*MAX(E134,F134*Inputs!$B$3))</f>
        <v>402.4</v>
      </c>
      <c r="H134" s="18" t="n">
        <f aca="false">C134*(1+IF(A134&gt;=Inputs!$C$5,Inputs!$C$4,0))*(1+Inputs!$C$2*MAX(E134,F134*Inputs!$C$3))</f>
        <v>402.4</v>
      </c>
      <c r="I134" s="18" t="n">
        <f aca="false">C134*(1+IF(A134&gt;=Inputs!$D$5,Inputs!$D$4,0))*(1+Inputs!$D$2*MAX(E134,F134*Inputs!$D$3))</f>
        <v>402.4</v>
      </c>
    </row>
    <row r="135" customFormat="false" ht="15" hidden="false" customHeight="false" outlineLevel="0" collapsed="false">
      <c r="A135" s="16" t="n">
        <v>45607</v>
      </c>
      <c r="B135" s="8" t="str">
        <f aca="false">TEXT(A135,"yyyy-mm")</f>
        <v>2024-11</v>
      </c>
      <c r="C135" s="17" t="n">
        <v>402.4</v>
      </c>
      <c r="D135" s="8"/>
      <c r="E135" s="8" t="n">
        <v>0</v>
      </c>
      <c r="F135" s="8" t="n">
        <v>0</v>
      </c>
      <c r="G135" s="18" t="n">
        <f aca="false">C135*(1+IF(A135&gt;=Inputs!$B$5,Inputs!$B$4,0))*(1+Inputs!$B$2*MAX(E135,F135*Inputs!$B$3))</f>
        <v>402.4</v>
      </c>
      <c r="H135" s="18" t="n">
        <f aca="false">C135*(1+IF(A135&gt;=Inputs!$C$5,Inputs!$C$4,0))*(1+Inputs!$C$2*MAX(E135,F135*Inputs!$C$3))</f>
        <v>402.4</v>
      </c>
      <c r="I135" s="18" t="n">
        <f aca="false">C135*(1+IF(A135&gt;=Inputs!$D$5,Inputs!$D$4,0))*(1+Inputs!$D$2*MAX(E135,F135*Inputs!$D$3))</f>
        <v>402.4</v>
      </c>
    </row>
    <row r="136" customFormat="false" ht="15" hidden="false" customHeight="false" outlineLevel="0" collapsed="false">
      <c r="A136" s="16" t="n">
        <v>45608</v>
      </c>
      <c r="B136" s="8" t="str">
        <f aca="false">TEXT(A136,"yyyy-mm")</f>
        <v>2024-11</v>
      </c>
      <c r="C136" s="17" t="n">
        <v>402.4</v>
      </c>
      <c r="D136" s="8" t="s">
        <v>59</v>
      </c>
      <c r="E136" s="8" t="n">
        <v>1</v>
      </c>
      <c r="F136" s="8" t="n">
        <v>0</v>
      </c>
      <c r="G136" s="18" t="n">
        <f aca="false">C136*(1+IF(A136&gt;=Inputs!$B$5,Inputs!$B$4,0))*(1+Inputs!$B$2*MAX(E136,F136*Inputs!$B$3))</f>
        <v>503</v>
      </c>
      <c r="H136" s="18" t="n">
        <f aca="false">C136*(1+IF(A136&gt;=Inputs!$C$5,Inputs!$C$4,0))*(1+Inputs!$C$2*MAX(E136,F136*Inputs!$C$3))</f>
        <v>603.6</v>
      </c>
      <c r="I136" s="18" t="n">
        <f aca="false">C136*(1+IF(A136&gt;=Inputs!$D$5,Inputs!$D$4,0))*(1+Inputs!$D$2*MAX(E136,F136*Inputs!$D$3))</f>
        <v>503</v>
      </c>
    </row>
    <row r="137" customFormat="false" ht="15" hidden="false" customHeight="false" outlineLevel="0" collapsed="false">
      <c r="A137" s="16" t="n">
        <v>45609</v>
      </c>
      <c r="B137" s="8" t="str">
        <f aca="false">TEXT(A137,"yyyy-mm")</f>
        <v>2024-11</v>
      </c>
      <c r="C137" s="17" t="n">
        <v>402.4</v>
      </c>
      <c r="D137" s="8" t="s">
        <v>59</v>
      </c>
      <c r="E137" s="8" t="n">
        <v>1</v>
      </c>
      <c r="F137" s="8" t="n">
        <v>0</v>
      </c>
      <c r="G137" s="18" t="n">
        <f aca="false">C137*(1+IF(A137&gt;=Inputs!$B$5,Inputs!$B$4,0))*(1+Inputs!$B$2*MAX(E137,F137*Inputs!$B$3))</f>
        <v>503</v>
      </c>
      <c r="H137" s="18" t="n">
        <f aca="false">C137*(1+IF(A137&gt;=Inputs!$C$5,Inputs!$C$4,0))*(1+Inputs!$C$2*MAX(E137,F137*Inputs!$C$3))</f>
        <v>603.6</v>
      </c>
      <c r="I137" s="18" t="n">
        <f aca="false">C137*(1+IF(A137&gt;=Inputs!$D$5,Inputs!$D$4,0))*(1+Inputs!$D$2*MAX(E137,F137*Inputs!$D$3))</f>
        <v>503</v>
      </c>
    </row>
    <row r="138" customFormat="false" ht="15" hidden="false" customHeight="false" outlineLevel="0" collapsed="false">
      <c r="A138" s="16" t="n">
        <v>45610</v>
      </c>
      <c r="B138" s="8" t="str">
        <f aca="false">TEXT(A138,"yyyy-mm")</f>
        <v>2024-11</v>
      </c>
      <c r="C138" s="17" t="n">
        <v>402.4</v>
      </c>
      <c r="D138" s="8"/>
      <c r="E138" s="8" t="n">
        <v>0</v>
      </c>
      <c r="F138" s="8" t="n">
        <v>0</v>
      </c>
      <c r="G138" s="18" t="n">
        <f aca="false">C138*(1+IF(A138&gt;=Inputs!$B$5,Inputs!$B$4,0))*(1+Inputs!$B$2*MAX(E138,F138*Inputs!$B$3))</f>
        <v>402.4</v>
      </c>
      <c r="H138" s="18" t="n">
        <f aca="false">C138*(1+IF(A138&gt;=Inputs!$C$5,Inputs!$C$4,0))*(1+Inputs!$C$2*MAX(E138,F138*Inputs!$C$3))</f>
        <v>402.4</v>
      </c>
      <c r="I138" s="18" t="n">
        <f aca="false">C138*(1+IF(A138&gt;=Inputs!$D$5,Inputs!$D$4,0))*(1+Inputs!$D$2*MAX(E138,F138*Inputs!$D$3))</f>
        <v>402.4</v>
      </c>
    </row>
    <row r="139" customFormat="false" ht="15" hidden="false" customHeight="false" outlineLevel="0" collapsed="false">
      <c r="A139" s="16" t="n">
        <v>45611</v>
      </c>
      <c r="B139" s="8" t="str">
        <f aca="false">TEXT(A139,"yyyy-mm")</f>
        <v>2024-11</v>
      </c>
      <c r="C139" s="17" t="n">
        <v>402.4</v>
      </c>
      <c r="D139" s="8"/>
      <c r="E139" s="8" t="n">
        <v>0</v>
      </c>
      <c r="F139" s="8" t="n">
        <v>0</v>
      </c>
      <c r="G139" s="18" t="n">
        <f aca="false">C139*(1+IF(A139&gt;=Inputs!$B$5,Inputs!$B$4,0))*(1+Inputs!$B$2*MAX(E139,F139*Inputs!$B$3))</f>
        <v>402.4</v>
      </c>
      <c r="H139" s="18" t="n">
        <f aca="false">C139*(1+IF(A139&gt;=Inputs!$C$5,Inputs!$C$4,0))*(1+Inputs!$C$2*MAX(E139,F139*Inputs!$C$3))</f>
        <v>402.4</v>
      </c>
      <c r="I139" s="18" t="n">
        <f aca="false">C139*(1+IF(A139&gt;=Inputs!$D$5,Inputs!$D$4,0))*(1+Inputs!$D$2*MAX(E139,F139*Inputs!$D$3))</f>
        <v>402.4</v>
      </c>
    </row>
    <row r="140" customFormat="false" ht="15" hidden="false" customHeight="false" outlineLevel="0" collapsed="false">
      <c r="A140" s="16" t="n">
        <v>45612</v>
      </c>
      <c r="B140" s="8" t="str">
        <f aca="false">TEXT(A140,"yyyy-mm")</f>
        <v>2024-11</v>
      </c>
      <c r="C140" s="17" t="n">
        <v>402.4</v>
      </c>
      <c r="D140" s="8"/>
      <c r="E140" s="8" t="n">
        <v>0</v>
      </c>
      <c r="F140" s="8" t="n">
        <v>0</v>
      </c>
      <c r="G140" s="18" t="n">
        <f aca="false">C140*(1+IF(A140&gt;=Inputs!$B$5,Inputs!$B$4,0))*(1+Inputs!$B$2*MAX(E140,F140*Inputs!$B$3))</f>
        <v>402.4</v>
      </c>
      <c r="H140" s="18" t="n">
        <f aca="false">C140*(1+IF(A140&gt;=Inputs!$C$5,Inputs!$C$4,0))*(1+Inputs!$C$2*MAX(E140,F140*Inputs!$C$3))</f>
        <v>402.4</v>
      </c>
      <c r="I140" s="18" t="n">
        <f aca="false">C140*(1+IF(A140&gt;=Inputs!$D$5,Inputs!$D$4,0))*(1+Inputs!$D$2*MAX(E140,F140*Inputs!$D$3))</f>
        <v>402.4</v>
      </c>
    </row>
    <row r="141" customFormat="false" ht="15" hidden="false" customHeight="false" outlineLevel="0" collapsed="false">
      <c r="A141" s="16" t="n">
        <v>45613</v>
      </c>
      <c r="B141" s="8" t="str">
        <f aca="false">TEXT(A141,"yyyy-mm")</f>
        <v>2024-11</v>
      </c>
      <c r="C141" s="17" t="n">
        <v>402.4</v>
      </c>
      <c r="D141" s="8"/>
      <c r="E141" s="8" t="n">
        <v>0</v>
      </c>
      <c r="F141" s="8" t="n">
        <v>0</v>
      </c>
      <c r="G141" s="18" t="n">
        <f aca="false">C141*(1+IF(A141&gt;=Inputs!$B$5,Inputs!$B$4,0))*(1+Inputs!$B$2*MAX(E141,F141*Inputs!$B$3))</f>
        <v>402.4</v>
      </c>
      <c r="H141" s="18" t="n">
        <f aca="false">C141*(1+IF(A141&gt;=Inputs!$C$5,Inputs!$C$4,0))*(1+Inputs!$C$2*MAX(E141,F141*Inputs!$C$3))</f>
        <v>402.4</v>
      </c>
      <c r="I141" s="18" t="n">
        <f aca="false">C141*(1+IF(A141&gt;=Inputs!$D$5,Inputs!$D$4,0))*(1+Inputs!$D$2*MAX(E141,F141*Inputs!$D$3))</f>
        <v>402.4</v>
      </c>
    </row>
    <row r="142" customFormat="false" ht="15" hidden="false" customHeight="false" outlineLevel="0" collapsed="false">
      <c r="A142" s="16" t="n">
        <v>45614</v>
      </c>
      <c r="B142" s="8" t="str">
        <f aca="false">TEXT(A142,"yyyy-mm")</f>
        <v>2024-11</v>
      </c>
      <c r="C142" s="17" t="n">
        <v>402.4</v>
      </c>
      <c r="D142" s="8"/>
      <c r="E142" s="8" t="n">
        <v>0</v>
      </c>
      <c r="F142" s="8" t="n">
        <v>0</v>
      </c>
      <c r="G142" s="18" t="n">
        <f aca="false">C142*(1+IF(A142&gt;=Inputs!$B$5,Inputs!$B$4,0))*(1+Inputs!$B$2*MAX(E142,F142*Inputs!$B$3))</f>
        <v>402.4</v>
      </c>
      <c r="H142" s="18" t="n">
        <f aca="false">C142*(1+IF(A142&gt;=Inputs!$C$5,Inputs!$C$4,0))*(1+Inputs!$C$2*MAX(E142,F142*Inputs!$C$3))</f>
        <v>402.4</v>
      </c>
      <c r="I142" s="18" t="n">
        <f aca="false">C142*(1+IF(A142&gt;=Inputs!$D$5,Inputs!$D$4,0))*(1+Inputs!$D$2*MAX(E142,F142*Inputs!$D$3))</f>
        <v>402.4</v>
      </c>
    </row>
    <row r="143" customFormat="false" ht="15" hidden="false" customHeight="false" outlineLevel="0" collapsed="false">
      <c r="A143" s="16" t="n">
        <v>45615</v>
      </c>
      <c r="B143" s="8" t="str">
        <f aca="false">TEXT(A143,"yyyy-mm")</f>
        <v>2024-11</v>
      </c>
      <c r="C143" s="17" t="n">
        <v>402.4</v>
      </c>
      <c r="D143" s="8"/>
      <c r="E143" s="8" t="n">
        <v>0</v>
      </c>
      <c r="F143" s="8" t="n">
        <v>0</v>
      </c>
      <c r="G143" s="18" t="n">
        <f aca="false">C143*(1+IF(A143&gt;=Inputs!$B$5,Inputs!$B$4,0))*(1+Inputs!$B$2*MAX(E143,F143*Inputs!$B$3))</f>
        <v>402.4</v>
      </c>
      <c r="H143" s="18" t="n">
        <f aca="false">C143*(1+IF(A143&gt;=Inputs!$C$5,Inputs!$C$4,0))*(1+Inputs!$C$2*MAX(E143,F143*Inputs!$C$3))</f>
        <v>402.4</v>
      </c>
      <c r="I143" s="18" t="n">
        <f aca="false">C143*(1+IF(A143&gt;=Inputs!$D$5,Inputs!$D$4,0))*(1+Inputs!$D$2*MAX(E143,F143*Inputs!$D$3))</f>
        <v>402.4</v>
      </c>
    </row>
    <row r="144" customFormat="false" ht="15" hidden="false" customHeight="false" outlineLevel="0" collapsed="false">
      <c r="A144" s="16" t="n">
        <v>45616</v>
      </c>
      <c r="B144" s="8" t="str">
        <f aca="false">TEXT(A144,"yyyy-mm")</f>
        <v>2024-11</v>
      </c>
      <c r="C144" s="17" t="n">
        <v>402.4</v>
      </c>
      <c r="D144" s="8"/>
      <c r="E144" s="8" t="n">
        <v>0</v>
      </c>
      <c r="F144" s="8" t="n">
        <v>0</v>
      </c>
      <c r="G144" s="18" t="n">
        <f aca="false">C144*(1+IF(A144&gt;=Inputs!$B$5,Inputs!$B$4,0))*(1+Inputs!$B$2*MAX(E144,F144*Inputs!$B$3))</f>
        <v>402.4</v>
      </c>
      <c r="H144" s="18" t="n">
        <f aca="false">C144*(1+IF(A144&gt;=Inputs!$C$5,Inputs!$C$4,0))*(1+Inputs!$C$2*MAX(E144,F144*Inputs!$C$3))</f>
        <v>402.4</v>
      </c>
      <c r="I144" s="18" t="n">
        <f aca="false">C144*(1+IF(A144&gt;=Inputs!$D$5,Inputs!$D$4,0))*(1+Inputs!$D$2*MAX(E144,F144*Inputs!$D$3))</f>
        <v>402.4</v>
      </c>
    </row>
    <row r="145" customFormat="false" ht="15" hidden="false" customHeight="false" outlineLevel="0" collapsed="false">
      <c r="A145" s="16" t="n">
        <v>45617</v>
      </c>
      <c r="B145" s="8" t="str">
        <f aca="false">TEXT(A145,"yyyy-mm")</f>
        <v>2024-11</v>
      </c>
      <c r="C145" s="17" t="n">
        <v>402.4</v>
      </c>
      <c r="D145" s="8"/>
      <c r="E145" s="8" t="n">
        <v>0</v>
      </c>
      <c r="F145" s="8" t="n">
        <v>0</v>
      </c>
      <c r="G145" s="18" t="n">
        <f aca="false">C145*(1+IF(A145&gt;=Inputs!$B$5,Inputs!$B$4,0))*(1+Inputs!$B$2*MAX(E145,F145*Inputs!$B$3))</f>
        <v>402.4</v>
      </c>
      <c r="H145" s="18" t="n">
        <f aca="false">C145*(1+IF(A145&gt;=Inputs!$C$5,Inputs!$C$4,0))*(1+Inputs!$C$2*MAX(E145,F145*Inputs!$C$3))</f>
        <v>402.4</v>
      </c>
      <c r="I145" s="18" t="n">
        <f aca="false">C145*(1+IF(A145&gt;=Inputs!$D$5,Inputs!$D$4,0))*(1+Inputs!$D$2*MAX(E145,F145*Inputs!$D$3))</f>
        <v>402.4</v>
      </c>
    </row>
    <row r="146" customFormat="false" ht="15" hidden="false" customHeight="false" outlineLevel="0" collapsed="false">
      <c r="A146" s="16" t="n">
        <v>45618</v>
      </c>
      <c r="B146" s="8" t="str">
        <f aca="false">TEXT(A146,"yyyy-mm")</f>
        <v>2024-11</v>
      </c>
      <c r="C146" s="17" t="n">
        <v>402.4</v>
      </c>
      <c r="D146" s="8"/>
      <c r="E146" s="8" t="n">
        <v>0</v>
      </c>
      <c r="F146" s="8" t="n">
        <v>0</v>
      </c>
      <c r="G146" s="18" t="n">
        <f aca="false">C146*(1+IF(A146&gt;=Inputs!$B$5,Inputs!$B$4,0))*(1+Inputs!$B$2*MAX(E146,F146*Inputs!$B$3))</f>
        <v>402.4</v>
      </c>
      <c r="H146" s="18" t="n">
        <f aca="false">C146*(1+IF(A146&gt;=Inputs!$C$5,Inputs!$C$4,0))*(1+Inputs!$C$2*MAX(E146,F146*Inputs!$C$3))</f>
        <v>402.4</v>
      </c>
      <c r="I146" s="18" t="n">
        <f aca="false">C146*(1+IF(A146&gt;=Inputs!$D$5,Inputs!$D$4,0))*(1+Inputs!$D$2*MAX(E146,F146*Inputs!$D$3))</f>
        <v>402.4</v>
      </c>
    </row>
    <row r="147" customFormat="false" ht="15" hidden="false" customHeight="false" outlineLevel="0" collapsed="false">
      <c r="A147" s="16" t="n">
        <v>45619</v>
      </c>
      <c r="B147" s="8" t="str">
        <f aca="false">TEXT(A147,"yyyy-mm")</f>
        <v>2024-11</v>
      </c>
      <c r="C147" s="17" t="n">
        <v>402.4</v>
      </c>
      <c r="D147" s="8"/>
      <c r="E147" s="8" t="n">
        <v>0</v>
      </c>
      <c r="F147" s="8" t="n">
        <v>0</v>
      </c>
      <c r="G147" s="18" t="n">
        <f aca="false">C147*(1+IF(A147&gt;=Inputs!$B$5,Inputs!$B$4,0))*(1+Inputs!$B$2*MAX(E147,F147*Inputs!$B$3))</f>
        <v>402.4</v>
      </c>
      <c r="H147" s="18" t="n">
        <f aca="false">C147*(1+IF(A147&gt;=Inputs!$C$5,Inputs!$C$4,0))*(1+Inputs!$C$2*MAX(E147,F147*Inputs!$C$3))</f>
        <v>402.4</v>
      </c>
      <c r="I147" s="18" t="n">
        <f aca="false">C147*(1+IF(A147&gt;=Inputs!$D$5,Inputs!$D$4,0))*(1+Inputs!$D$2*MAX(E147,F147*Inputs!$D$3))</f>
        <v>402.4</v>
      </c>
    </row>
    <row r="148" customFormat="false" ht="15" hidden="false" customHeight="false" outlineLevel="0" collapsed="false">
      <c r="A148" s="16" t="n">
        <v>45620</v>
      </c>
      <c r="B148" s="8" t="str">
        <f aca="false">TEXT(A148,"yyyy-mm")</f>
        <v>2024-11</v>
      </c>
      <c r="C148" s="17" t="n">
        <v>402.4</v>
      </c>
      <c r="D148" s="8"/>
      <c r="E148" s="8" t="n">
        <v>0</v>
      </c>
      <c r="F148" s="8" t="n">
        <v>0</v>
      </c>
      <c r="G148" s="18" t="n">
        <f aca="false">C148*(1+IF(A148&gt;=Inputs!$B$5,Inputs!$B$4,0))*(1+Inputs!$B$2*MAX(E148,F148*Inputs!$B$3))</f>
        <v>402.4</v>
      </c>
      <c r="H148" s="18" t="n">
        <f aca="false">C148*(1+IF(A148&gt;=Inputs!$C$5,Inputs!$C$4,0))*(1+Inputs!$C$2*MAX(E148,F148*Inputs!$C$3))</f>
        <v>402.4</v>
      </c>
      <c r="I148" s="18" t="n">
        <f aca="false">C148*(1+IF(A148&gt;=Inputs!$D$5,Inputs!$D$4,0))*(1+Inputs!$D$2*MAX(E148,F148*Inputs!$D$3))</f>
        <v>402.4</v>
      </c>
    </row>
    <row r="149" customFormat="false" ht="15" hidden="false" customHeight="false" outlineLevel="0" collapsed="false">
      <c r="A149" s="16" t="n">
        <v>45621</v>
      </c>
      <c r="B149" s="8" t="str">
        <f aca="false">TEXT(A149,"yyyy-mm")</f>
        <v>2024-11</v>
      </c>
      <c r="C149" s="17" t="n">
        <v>402.4</v>
      </c>
      <c r="D149" s="8"/>
      <c r="E149" s="8" t="n">
        <v>0</v>
      </c>
      <c r="F149" s="8" t="n">
        <v>0</v>
      </c>
      <c r="G149" s="18" t="n">
        <f aca="false">C149*(1+IF(A149&gt;=Inputs!$B$5,Inputs!$B$4,0))*(1+Inputs!$B$2*MAX(E149,F149*Inputs!$B$3))</f>
        <v>402.4</v>
      </c>
      <c r="H149" s="18" t="n">
        <f aca="false">C149*(1+IF(A149&gt;=Inputs!$C$5,Inputs!$C$4,0))*(1+Inputs!$C$2*MAX(E149,F149*Inputs!$C$3))</f>
        <v>402.4</v>
      </c>
      <c r="I149" s="18" t="n">
        <f aca="false">C149*(1+IF(A149&gt;=Inputs!$D$5,Inputs!$D$4,0))*(1+Inputs!$D$2*MAX(E149,F149*Inputs!$D$3))</f>
        <v>402.4</v>
      </c>
    </row>
    <row r="150" customFormat="false" ht="15" hidden="false" customHeight="false" outlineLevel="0" collapsed="false">
      <c r="A150" s="16" t="n">
        <v>45622</v>
      </c>
      <c r="B150" s="8" t="str">
        <f aca="false">TEXT(A150,"yyyy-mm")</f>
        <v>2024-11</v>
      </c>
      <c r="C150" s="17" t="n">
        <v>402.4</v>
      </c>
      <c r="D150" s="8"/>
      <c r="E150" s="8" t="n">
        <v>0</v>
      </c>
      <c r="F150" s="8" t="n">
        <v>0</v>
      </c>
      <c r="G150" s="18" t="n">
        <f aca="false">C150*(1+IF(A150&gt;=Inputs!$B$5,Inputs!$B$4,0))*(1+Inputs!$B$2*MAX(E150,F150*Inputs!$B$3))</f>
        <v>402.4</v>
      </c>
      <c r="H150" s="18" t="n">
        <f aca="false">C150*(1+IF(A150&gt;=Inputs!$C$5,Inputs!$C$4,0))*(1+Inputs!$C$2*MAX(E150,F150*Inputs!$C$3))</f>
        <v>402.4</v>
      </c>
      <c r="I150" s="18" t="n">
        <f aca="false">C150*(1+IF(A150&gt;=Inputs!$D$5,Inputs!$D$4,0))*(1+Inputs!$D$2*MAX(E150,F150*Inputs!$D$3))</f>
        <v>402.4</v>
      </c>
    </row>
    <row r="151" customFormat="false" ht="15" hidden="false" customHeight="false" outlineLevel="0" collapsed="false">
      <c r="A151" s="16" t="n">
        <v>45623</v>
      </c>
      <c r="B151" s="8" t="str">
        <f aca="false">TEXT(A151,"yyyy-mm")</f>
        <v>2024-11</v>
      </c>
      <c r="C151" s="17" t="n">
        <v>402.4</v>
      </c>
      <c r="D151" s="8"/>
      <c r="E151" s="8" t="n">
        <v>0</v>
      </c>
      <c r="F151" s="8" t="n">
        <v>0</v>
      </c>
      <c r="G151" s="18" t="n">
        <f aca="false">C151*(1+IF(A151&gt;=Inputs!$B$5,Inputs!$B$4,0))*(1+Inputs!$B$2*MAX(E151,F151*Inputs!$B$3))</f>
        <v>402.4</v>
      </c>
      <c r="H151" s="18" t="n">
        <f aca="false">C151*(1+IF(A151&gt;=Inputs!$C$5,Inputs!$C$4,0))*(1+Inputs!$C$2*MAX(E151,F151*Inputs!$C$3))</f>
        <v>402.4</v>
      </c>
      <c r="I151" s="18" t="n">
        <f aca="false">C151*(1+IF(A151&gt;=Inputs!$D$5,Inputs!$D$4,0))*(1+Inputs!$D$2*MAX(E151,F151*Inputs!$D$3))</f>
        <v>402.4</v>
      </c>
    </row>
    <row r="152" customFormat="false" ht="15" hidden="false" customHeight="false" outlineLevel="0" collapsed="false">
      <c r="A152" s="16" t="n">
        <v>45624</v>
      </c>
      <c r="B152" s="8" t="str">
        <f aca="false">TEXT(A152,"yyyy-mm")</f>
        <v>2024-11</v>
      </c>
      <c r="C152" s="17" t="n">
        <v>402.4</v>
      </c>
      <c r="D152" s="8"/>
      <c r="E152" s="8" t="n">
        <v>0</v>
      </c>
      <c r="F152" s="8" t="n">
        <v>0</v>
      </c>
      <c r="G152" s="18" t="n">
        <f aca="false">C152*(1+IF(A152&gt;=Inputs!$B$5,Inputs!$B$4,0))*(1+Inputs!$B$2*MAX(E152,F152*Inputs!$B$3))</f>
        <v>402.4</v>
      </c>
      <c r="H152" s="18" t="n">
        <f aca="false">C152*(1+IF(A152&gt;=Inputs!$C$5,Inputs!$C$4,0))*(1+Inputs!$C$2*MAX(E152,F152*Inputs!$C$3))</f>
        <v>402.4</v>
      </c>
      <c r="I152" s="18" t="n">
        <f aca="false">C152*(1+IF(A152&gt;=Inputs!$D$5,Inputs!$D$4,0))*(1+Inputs!$D$2*MAX(E152,F152*Inputs!$D$3))</f>
        <v>402.4</v>
      </c>
    </row>
    <row r="153" customFormat="false" ht="15" hidden="false" customHeight="false" outlineLevel="0" collapsed="false">
      <c r="A153" s="16" t="n">
        <v>45625</v>
      </c>
      <c r="B153" s="8" t="str">
        <f aca="false">TEXT(A153,"yyyy-mm")</f>
        <v>2024-11</v>
      </c>
      <c r="C153" s="17" t="n">
        <v>402.4</v>
      </c>
      <c r="D153" s="8" t="s">
        <v>60</v>
      </c>
      <c r="E153" s="8" t="n">
        <v>1</v>
      </c>
      <c r="F153" s="8" t="n">
        <v>0</v>
      </c>
      <c r="G153" s="18" t="n">
        <f aca="false">C153*(1+IF(A153&gt;=Inputs!$B$5,Inputs!$B$4,0))*(1+Inputs!$B$2*MAX(E153,F153*Inputs!$B$3))</f>
        <v>503</v>
      </c>
      <c r="H153" s="18" t="n">
        <f aca="false">C153*(1+IF(A153&gt;=Inputs!$C$5,Inputs!$C$4,0))*(1+Inputs!$C$2*MAX(E153,F153*Inputs!$C$3))</f>
        <v>603.6</v>
      </c>
      <c r="I153" s="18" t="n">
        <f aca="false">C153*(1+IF(A153&gt;=Inputs!$D$5,Inputs!$D$4,0))*(1+Inputs!$D$2*MAX(E153,F153*Inputs!$D$3))</f>
        <v>503</v>
      </c>
    </row>
    <row r="154" customFormat="false" ht="15" hidden="false" customHeight="false" outlineLevel="0" collapsed="false">
      <c r="A154" s="16" t="n">
        <v>45626</v>
      </c>
      <c r="B154" s="8" t="str">
        <f aca="false">TEXT(A154,"yyyy-mm")</f>
        <v>2024-11</v>
      </c>
      <c r="C154" s="17" t="n">
        <v>402.4</v>
      </c>
      <c r="D154" s="8" t="s">
        <v>60</v>
      </c>
      <c r="E154" s="8" t="n">
        <v>1</v>
      </c>
      <c r="F154" s="8" t="n">
        <v>0</v>
      </c>
      <c r="G154" s="18" t="n">
        <f aca="false">C154*(1+IF(A154&gt;=Inputs!$B$5,Inputs!$B$4,0))*(1+Inputs!$B$2*MAX(E154,F154*Inputs!$B$3))</f>
        <v>503</v>
      </c>
      <c r="H154" s="18" t="n">
        <f aca="false">C154*(1+IF(A154&gt;=Inputs!$C$5,Inputs!$C$4,0))*(1+Inputs!$C$2*MAX(E154,F154*Inputs!$C$3))</f>
        <v>603.6</v>
      </c>
      <c r="I154" s="18" t="n">
        <f aca="false">C154*(1+IF(A154&gt;=Inputs!$D$5,Inputs!$D$4,0))*(1+Inputs!$D$2*MAX(E154,F154*Inputs!$D$3))</f>
        <v>503</v>
      </c>
    </row>
    <row r="155" customFormat="false" ht="15" hidden="false" customHeight="false" outlineLevel="0" collapsed="false">
      <c r="A155" s="16" t="n">
        <v>45627</v>
      </c>
      <c r="B155" s="8" t="str">
        <f aca="false">TEXT(A155,"yyyy-mm")</f>
        <v>2024-12</v>
      </c>
      <c r="C155" s="17" t="n">
        <v>402.4</v>
      </c>
      <c r="D155" s="8" t="s">
        <v>60</v>
      </c>
      <c r="E155" s="8" t="n">
        <v>1</v>
      </c>
      <c r="F155" s="8" t="n">
        <v>0</v>
      </c>
      <c r="G155" s="18" t="n">
        <f aca="false">C155*(1+IF(A155&gt;=Inputs!$B$5,Inputs!$B$4,0))*(1+Inputs!$B$2*MAX(E155,F155*Inputs!$B$3))</f>
        <v>503</v>
      </c>
      <c r="H155" s="18" t="n">
        <f aca="false">C155*(1+IF(A155&gt;=Inputs!$C$5,Inputs!$C$4,0))*(1+Inputs!$C$2*MAX(E155,F155*Inputs!$C$3))</f>
        <v>603.6</v>
      </c>
      <c r="I155" s="18" t="n">
        <f aca="false">C155*(1+IF(A155&gt;=Inputs!$D$5,Inputs!$D$4,0))*(1+Inputs!$D$2*MAX(E155,F155*Inputs!$D$3))</f>
        <v>503</v>
      </c>
    </row>
    <row r="156" customFormat="false" ht="15" hidden="false" customHeight="false" outlineLevel="0" collapsed="false">
      <c r="A156" s="16" t="n">
        <v>45628</v>
      </c>
      <c r="B156" s="8" t="str">
        <f aca="false">TEXT(A156,"yyyy-mm")</f>
        <v>2024-12</v>
      </c>
      <c r="C156" s="17" t="n">
        <v>402.4</v>
      </c>
      <c r="D156" s="8" t="s">
        <v>60</v>
      </c>
      <c r="E156" s="8" t="n">
        <v>1</v>
      </c>
      <c r="F156" s="8" t="n">
        <v>0</v>
      </c>
      <c r="G156" s="18" t="n">
        <f aca="false">C156*(1+IF(A156&gt;=Inputs!$B$5,Inputs!$B$4,0))*(1+Inputs!$B$2*MAX(E156,F156*Inputs!$B$3))</f>
        <v>503</v>
      </c>
      <c r="H156" s="18" t="n">
        <f aca="false">C156*(1+IF(A156&gt;=Inputs!$C$5,Inputs!$C$4,0))*(1+Inputs!$C$2*MAX(E156,F156*Inputs!$C$3))</f>
        <v>603.6</v>
      </c>
      <c r="I156" s="18" t="n">
        <f aca="false">C156*(1+IF(A156&gt;=Inputs!$D$5,Inputs!$D$4,0))*(1+Inputs!$D$2*MAX(E156,F156*Inputs!$D$3))</f>
        <v>503</v>
      </c>
    </row>
    <row r="157" customFormat="false" ht="15" hidden="false" customHeight="false" outlineLevel="0" collapsed="false">
      <c r="A157" s="16" t="n">
        <v>45629</v>
      </c>
      <c r="B157" s="8" t="str">
        <f aca="false">TEXT(A157,"yyyy-mm")</f>
        <v>2024-12</v>
      </c>
      <c r="C157" s="17" t="n">
        <v>402.4</v>
      </c>
      <c r="D157" s="8"/>
      <c r="E157" s="8" t="n">
        <v>0</v>
      </c>
      <c r="F157" s="8" t="n">
        <v>0</v>
      </c>
      <c r="G157" s="18" t="n">
        <f aca="false">C157*(1+IF(A157&gt;=Inputs!$B$5,Inputs!$B$4,0))*(1+Inputs!$B$2*MAX(E157,F157*Inputs!$B$3))</f>
        <v>402.4</v>
      </c>
      <c r="H157" s="18" t="n">
        <f aca="false">C157*(1+IF(A157&gt;=Inputs!$C$5,Inputs!$C$4,0))*(1+Inputs!$C$2*MAX(E157,F157*Inputs!$C$3))</f>
        <v>402.4</v>
      </c>
      <c r="I157" s="18" t="n">
        <f aca="false">C157*(1+IF(A157&gt;=Inputs!$D$5,Inputs!$D$4,0))*(1+Inputs!$D$2*MAX(E157,F157*Inputs!$D$3))</f>
        <v>402.4</v>
      </c>
    </row>
    <row r="158" customFormat="false" ht="15" hidden="false" customHeight="false" outlineLevel="0" collapsed="false">
      <c r="A158" s="16" t="n">
        <v>45630</v>
      </c>
      <c r="B158" s="8" t="str">
        <f aca="false">TEXT(A158,"yyyy-mm")</f>
        <v>2024-12</v>
      </c>
      <c r="C158" s="17" t="n">
        <v>402.4</v>
      </c>
      <c r="D158" s="8"/>
      <c r="E158" s="8" t="n">
        <v>0</v>
      </c>
      <c r="F158" s="8" t="n">
        <v>0</v>
      </c>
      <c r="G158" s="18" t="n">
        <f aca="false">C158*(1+IF(A158&gt;=Inputs!$B$5,Inputs!$B$4,0))*(1+Inputs!$B$2*MAX(E158,F158*Inputs!$B$3))</f>
        <v>402.4</v>
      </c>
      <c r="H158" s="18" t="n">
        <f aca="false">C158*(1+IF(A158&gt;=Inputs!$C$5,Inputs!$C$4,0))*(1+Inputs!$C$2*MAX(E158,F158*Inputs!$C$3))</f>
        <v>402.4</v>
      </c>
      <c r="I158" s="18" t="n">
        <f aca="false">C158*(1+IF(A158&gt;=Inputs!$D$5,Inputs!$D$4,0))*(1+Inputs!$D$2*MAX(E158,F158*Inputs!$D$3))</f>
        <v>402.4</v>
      </c>
    </row>
    <row r="159" customFormat="false" ht="15" hidden="false" customHeight="false" outlineLevel="0" collapsed="false">
      <c r="A159" s="16" t="n">
        <v>45631</v>
      </c>
      <c r="B159" s="8" t="str">
        <f aca="false">TEXT(A159,"yyyy-mm")</f>
        <v>2024-12</v>
      </c>
      <c r="C159" s="17" t="n">
        <v>402.4</v>
      </c>
      <c r="D159" s="8"/>
      <c r="E159" s="8" t="n">
        <v>0</v>
      </c>
      <c r="F159" s="8" t="n">
        <v>0</v>
      </c>
      <c r="G159" s="18" t="n">
        <f aca="false">C159*(1+IF(A159&gt;=Inputs!$B$5,Inputs!$B$4,0))*(1+Inputs!$B$2*MAX(E159,F159*Inputs!$B$3))</f>
        <v>402.4</v>
      </c>
      <c r="H159" s="18" t="n">
        <f aca="false">C159*(1+IF(A159&gt;=Inputs!$C$5,Inputs!$C$4,0))*(1+Inputs!$C$2*MAX(E159,F159*Inputs!$C$3))</f>
        <v>402.4</v>
      </c>
      <c r="I159" s="18" t="n">
        <f aca="false">C159*(1+IF(A159&gt;=Inputs!$D$5,Inputs!$D$4,0))*(1+Inputs!$D$2*MAX(E159,F159*Inputs!$D$3))</f>
        <v>402.4</v>
      </c>
    </row>
    <row r="160" customFormat="false" ht="15" hidden="false" customHeight="false" outlineLevel="0" collapsed="false">
      <c r="A160" s="16" t="n">
        <v>45632</v>
      </c>
      <c r="B160" s="8" t="str">
        <f aca="false">TEXT(A160,"yyyy-mm")</f>
        <v>2024-12</v>
      </c>
      <c r="C160" s="17" t="n">
        <v>402.4</v>
      </c>
      <c r="D160" s="8"/>
      <c r="E160" s="8" t="n">
        <v>0</v>
      </c>
      <c r="F160" s="8" t="n">
        <v>1</v>
      </c>
      <c r="G160" s="18" t="n">
        <f aca="false">C160*(1+IF(A160&gt;=Inputs!$B$5,Inputs!$B$4,0))*(1+Inputs!$B$2*MAX(E160,F160*Inputs!$B$3))</f>
        <v>402.4</v>
      </c>
      <c r="H160" s="18" t="n">
        <f aca="false">C160*(1+IF(A160&gt;=Inputs!$C$5,Inputs!$C$4,0))*(1+Inputs!$C$2*MAX(E160,F160*Inputs!$C$3))</f>
        <v>603.6</v>
      </c>
      <c r="I160" s="18" t="n">
        <f aca="false">C160*(1+IF(A160&gt;=Inputs!$D$5,Inputs!$D$4,0))*(1+Inputs!$D$2*MAX(E160,F160*Inputs!$D$3))</f>
        <v>402.4</v>
      </c>
    </row>
    <row r="161" customFormat="false" ht="15" hidden="false" customHeight="false" outlineLevel="0" collapsed="false">
      <c r="A161" s="16" t="n">
        <v>45633</v>
      </c>
      <c r="B161" s="8" t="str">
        <f aca="false">TEXT(A161,"yyyy-mm")</f>
        <v>2024-12</v>
      </c>
      <c r="C161" s="17" t="n">
        <v>402.4</v>
      </c>
      <c r="D161" s="8"/>
      <c r="E161" s="8" t="n">
        <v>0</v>
      </c>
      <c r="F161" s="8" t="n">
        <v>1</v>
      </c>
      <c r="G161" s="18" t="n">
        <f aca="false">C161*(1+IF(A161&gt;=Inputs!$B$5,Inputs!$B$4,0))*(1+Inputs!$B$2*MAX(E161,F161*Inputs!$B$3))</f>
        <v>402.4</v>
      </c>
      <c r="H161" s="18" t="n">
        <f aca="false">C161*(1+IF(A161&gt;=Inputs!$C$5,Inputs!$C$4,0))*(1+Inputs!$C$2*MAX(E161,F161*Inputs!$C$3))</f>
        <v>603.6</v>
      </c>
      <c r="I161" s="18" t="n">
        <f aca="false">C161*(1+IF(A161&gt;=Inputs!$D$5,Inputs!$D$4,0))*(1+Inputs!$D$2*MAX(E161,F161*Inputs!$D$3))</f>
        <v>402.4</v>
      </c>
    </row>
    <row r="162" customFormat="false" ht="15" hidden="false" customHeight="false" outlineLevel="0" collapsed="false">
      <c r="A162" s="16" t="n">
        <v>45634</v>
      </c>
      <c r="B162" s="8" t="str">
        <f aca="false">TEXT(A162,"yyyy-mm")</f>
        <v>2024-12</v>
      </c>
      <c r="C162" s="17" t="n">
        <v>402.4</v>
      </c>
      <c r="D162" s="8"/>
      <c r="E162" s="8" t="n">
        <v>0</v>
      </c>
      <c r="F162" s="8" t="n">
        <v>0</v>
      </c>
      <c r="G162" s="18" t="n">
        <f aca="false">C162*(1+IF(A162&gt;=Inputs!$B$5,Inputs!$B$4,0))*(1+Inputs!$B$2*MAX(E162,F162*Inputs!$B$3))</f>
        <v>402.4</v>
      </c>
      <c r="H162" s="18" t="n">
        <f aca="false">C162*(1+IF(A162&gt;=Inputs!$C$5,Inputs!$C$4,0))*(1+Inputs!$C$2*MAX(E162,F162*Inputs!$C$3))</f>
        <v>402.4</v>
      </c>
      <c r="I162" s="18" t="n">
        <f aca="false">C162*(1+IF(A162&gt;=Inputs!$D$5,Inputs!$D$4,0))*(1+Inputs!$D$2*MAX(E162,F162*Inputs!$D$3))</f>
        <v>402.4</v>
      </c>
    </row>
    <row r="163" customFormat="false" ht="15" hidden="false" customHeight="false" outlineLevel="0" collapsed="false">
      <c r="A163" s="16" t="n">
        <v>45635</v>
      </c>
      <c r="B163" s="8" t="str">
        <f aca="false">TEXT(A163,"yyyy-mm")</f>
        <v>2024-12</v>
      </c>
      <c r="C163" s="17" t="n">
        <v>402.4</v>
      </c>
      <c r="D163" s="8"/>
      <c r="E163" s="8" t="n">
        <v>0</v>
      </c>
      <c r="F163" s="8" t="n">
        <v>0</v>
      </c>
      <c r="G163" s="18" t="n">
        <f aca="false">C163*(1+IF(A163&gt;=Inputs!$B$5,Inputs!$B$4,0))*(1+Inputs!$B$2*MAX(E163,F163*Inputs!$B$3))</f>
        <v>402.4</v>
      </c>
      <c r="H163" s="18" t="n">
        <f aca="false">C163*(1+IF(A163&gt;=Inputs!$C$5,Inputs!$C$4,0))*(1+Inputs!$C$2*MAX(E163,F163*Inputs!$C$3))</f>
        <v>402.4</v>
      </c>
      <c r="I163" s="18" t="n">
        <f aca="false">C163*(1+IF(A163&gt;=Inputs!$D$5,Inputs!$D$4,0))*(1+Inputs!$D$2*MAX(E163,F163*Inputs!$D$3))</f>
        <v>402.4</v>
      </c>
    </row>
    <row r="164" customFormat="false" ht="15" hidden="false" customHeight="false" outlineLevel="0" collapsed="false">
      <c r="A164" s="16" t="n">
        <v>45636</v>
      </c>
      <c r="B164" s="8" t="str">
        <f aca="false">TEXT(A164,"yyyy-mm")</f>
        <v>2024-12</v>
      </c>
      <c r="C164" s="17" t="n">
        <v>402.4</v>
      </c>
      <c r="D164" s="8"/>
      <c r="E164" s="8" t="n">
        <v>0</v>
      </c>
      <c r="F164" s="8" t="n">
        <v>0</v>
      </c>
      <c r="G164" s="18" t="n">
        <f aca="false">C164*(1+IF(A164&gt;=Inputs!$B$5,Inputs!$B$4,0))*(1+Inputs!$B$2*MAX(E164,F164*Inputs!$B$3))</f>
        <v>402.4</v>
      </c>
      <c r="H164" s="18" t="n">
        <f aca="false">C164*(1+IF(A164&gt;=Inputs!$C$5,Inputs!$C$4,0))*(1+Inputs!$C$2*MAX(E164,F164*Inputs!$C$3))</f>
        <v>402.4</v>
      </c>
      <c r="I164" s="18" t="n">
        <f aca="false">C164*(1+IF(A164&gt;=Inputs!$D$5,Inputs!$D$4,0))*(1+Inputs!$D$2*MAX(E164,F164*Inputs!$D$3))</f>
        <v>402.4</v>
      </c>
    </row>
    <row r="165" customFormat="false" ht="15" hidden="false" customHeight="false" outlineLevel="0" collapsed="false">
      <c r="A165" s="16" t="n">
        <v>45637</v>
      </c>
      <c r="B165" s="8" t="str">
        <f aca="false">TEXT(A165,"yyyy-mm")</f>
        <v>2024-12</v>
      </c>
      <c r="C165" s="17" t="n">
        <v>402.4</v>
      </c>
      <c r="D165" s="8"/>
      <c r="E165" s="8" t="n">
        <v>0</v>
      </c>
      <c r="F165" s="8" t="n">
        <v>0</v>
      </c>
      <c r="G165" s="18" t="n">
        <f aca="false">C165*(1+IF(A165&gt;=Inputs!$B$5,Inputs!$B$4,0))*(1+Inputs!$B$2*MAX(E165,F165*Inputs!$B$3))</f>
        <v>402.4</v>
      </c>
      <c r="H165" s="18" t="n">
        <f aca="false">C165*(1+IF(A165&gt;=Inputs!$C$5,Inputs!$C$4,0))*(1+Inputs!$C$2*MAX(E165,F165*Inputs!$C$3))</f>
        <v>402.4</v>
      </c>
      <c r="I165" s="18" t="n">
        <f aca="false">C165*(1+IF(A165&gt;=Inputs!$D$5,Inputs!$D$4,0))*(1+Inputs!$D$2*MAX(E165,F165*Inputs!$D$3))</f>
        <v>402.4</v>
      </c>
    </row>
    <row r="166" customFormat="false" ht="15" hidden="false" customHeight="false" outlineLevel="0" collapsed="false">
      <c r="A166" s="16" t="n">
        <v>45638</v>
      </c>
      <c r="B166" s="8" t="str">
        <f aca="false">TEXT(A166,"yyyy-mm")</f>
        <v>2024-12</v>
      </c>
      <c r="C166" s="17" t="n">
        <v>402.4</v>
      </c>
      <c r="D166" s="8"/>
      <c r="E166" s="8" t="n">
        <v>0</v>
      </c>
      <c r="F166" s="8" t="n">
        <v>0</v>
      </c>
      <c r="G166" s="18" t="n">
        <f aca="false">C166*(1+IF(A166&gt;=Inputs!$B$5,Inputs!$B$4,0))*(1+Inputs!$B$2*MAX(E166,F166*Inputs!$B$3))</f>
        <v>402.4</v>
      </c>
      <c r="H166" s="18" t="n">
        <f aca="false">C166*(1+IF(A166&gt;=Inputs!$C$5,Inputs!$C$4,0))*(1+Inputs!$C$2*MAX(E166,F166*Inputs!$C$3))</f>
        <v>402.4</v>
      </c>
      <c r="I166" s="18" t="n">
        <f aca="false">C166*(1+IF(A166&gt;=Inputs!$D$5,Inputs!$D$4,0))*(1+Inputs!$D$2*MAX(E166,F166*Inputs!$D$3))</f>
        <v>402.4</v>
      </c>
    </row>
    <row r="167" customFormat="false" ht="15" hidden="false" customHeight="false" outlineLevel="0" collapsed="false">
      <c r="A167" s="16" t="n">
        <v>45639</v>
      </c>
      <c r="B167" s="8" t="str">
        <f aca="false">TEXT(A167,"yyyy-mm")</f>
        <v>2024-12</v>
      </c>
      <c r="C167" s="17" t="n">
        <v>402.4</v>
      </c>
      <c r="D167" s="8"/>
      <c r="E167" s="8" t="n">
        <v>0</v>
      </c>
      <c r="F167" s="8" t="n">
        <v>0</v>
      </c>
      <c r="G167" s="18" t="n">
        <f aca="false">C167*(1+IF(A167&gt;=Inputs!$B$5,Inputs!$B$4,0))*(1+Inputs!$B$2*MAX(E167,F167*Inputs!$B$3))</f>
        <v>402.4</v>
      </c>
      <c r="H167" s="18" t="n">
        <f aca="false">C167*(1+IF(A167&gt;=Inputs!$C$5,Inputs!$C$4,0))*(1+Inputs!$C$2*MAX(E167,F167*Inputs!$C$3))</f>
        <v>402.4</v>
      </c>
      <c r="I167" s="18" t="n">
        <f aca="false">C167*(1+IF(A167&gt;=Inputs!$D$5,Inputs!$D$4,0))*(1+Inputs!$D$2*MAX(E167,F167*Inputs!$D$3))</f>
        <v>402.4</v>
      </c>
    </row>
    <row r="168" customFormat="false" ht="15" hidden="false" customHeight="false" outlineLevel="0" collapsed="false">
      <c r="A168" s="16" t="n">
        <v>45640</v>
      </c>
      <c r="B168" s="8" t="str">
        <f aca="false">TEXT(A168,"yyyy-mm")</f>
        <v>2024-12</v>
      </c>
      <c r="C168" s="17" t="n">
        <v>402.4</v>
      </c>
      <c r="D168" s="8"/>
      <c r="E168" s="8" t="n">
        <v>0</v>
      </c>
      <c r="F168" s="8" t="n">
        <v>0</v>
      </c>
      <c r="G168" s="18" t="n">
        <f aca="false">C168*(1+IF(A168&gt;=Inputs!$B$5,Inputs!$B$4,0))*(1+Inputs!$B$2*MAX(E168,F168*Inputs!$B$3))</f>
        <v>402.4</v>
      </c>
      <c r="H168" s="18" t="n">
        <f aca="false">C168*(1+IF(A168&gt;=Inputs!$C$5,Inputs!$C$4,0))*(1+Inputs!$C$2*MAX(E168,F168*Inputs!$C$3))</f>
        <v>402.4</v>
      </c>
      <c r="I168" s="18" t="n">
        <f aca="false">C168*(1+IF(A168&gt;=Inputs!$D$5,Inputs!$D$4,0))*(1+Inputs!$D$2*MAX(E168,F168*Inputs!$D$3))</f>
        <v>402.4</v>
      </c>
    </row>
    <row r="169" customFormat="false" ht="15" hidden="false" customHeight="false" outlineLevel="0" collapsed="false">
      <c r="A169" s="16" t="n">
        <v>45641</v>
      </c>
      <c r="B169" s="8" t="str">
        <f aca="false">TEXT(A169,"yyyy-mm")</f>
        <v>2024-12</v>
      </c>
      <c r="C169" s="17" t="n">
        <v>402.4</v>
      </c>
      <c r="D169" s="8"/>
      <c r="E169" s="8" t="n">
        <v>0</v>
      </c>
      <c r="F169" s="8" t="n">
        <v>0</v>
      </c>
      <c r="G169" s="18" t="n">
        <f aca="false">C169*(1+IF(A169&gt;=Inputs!$B$5,Inputs!$B$4,0))*(1+Inputs!$B$2*MAX(E169,F169*Inputs!$B$3))</f>
        <v>402.4</v>
      </c>
      <c r="H169" s="18" t="n">
        <f aca="false">C169*(1+IF(A169&gt;=Inputs!$C$5,Inputs!$C$4,0))*(1+Inputs!$C$2*MAX(E169,F169*Inputs!$C$3))</f>
        <v>402.4</v>
      </c>
      <c r="I169" s="18" t="n">
        <f aca="false">C169*(1+IF(A169&gt;=Inputs!$D$5,Inputs!$D$4,0))*(1+Inputs!$D$2*MAX(E169,F169*Inputs!$D$3))</f>
        <v>402.4</v>
      </c>
    </row>
    <row r="170" customFormat="false" ht="15" hidden="false" customHeight="false" outlineLevel="0" collapsed="false">
      <c r="A170" s="16" t="n">
        <v>45642</v>
      </c>
      <c r="B170" s="8" t="str">
        <f aca="false">TEXT(A170,"yyyy-mm")</f>
        <v>2024-12</v>
      </c>
      <c r="C170" s="17" t="n">
        <v>402.4</v>
      </c>
      <c r="D170" s="8"/>
      <c r="E170" s="8" t="n">
        <v>0</v>
      </c>
      <c r="F170" s="8" t="n">
        <v>0</v>
      </c>
      <c r="G170" s="18" t="n">
        <f aca="false">C170*(1+IF(A170&gt;=Inputs!$B$5,Inputs!$B$4,0))*(1+Inputs!$B$2*MAX(E170,F170*Inputs!$B$3))</f>
        <v>402.4</v>
      </c>
      <c r="H170" s="18" t="n">
        <f aca="false">C170*(1+IF(A170&gt;=Inputs!$C$5,Inputs!$C$4,0))*(1+Inputs!$C$2*MAX(E170,F170*Inputs!$C$3))</f>
        <v>402.4</v>
      </c>
      <c r="I170" s="18" t="n">
        <f aca="false">C170*(1+IF(A170&gt;=Inputs!$D$5,Inputs!$D$4,0))*(1+Inputs!$D$2*MAX(E170,F170*Inputs!$D$3))</f>
        <v>402.4</v>
      </c>
    </row>
    <row r="171" customFormat="false" ht="15" hidden="false" customHeight="false" outlineLevel="0" collapsed="false">
      <c r="A171" s="16" t="n">
        <v>45643</v>
      </c>
      <c r="B171" s="8" t="str">
        <f aca="false">TEXT(A171,"yyyy-mm")</f>
        <v>2024-12</v>
      </c>
      <c r="C171" s="17" t="n">
        <v>402.4</v>
      </c>
      <c r="D171" s="8"/>
      <c r="E171" s="8" t="n">
        <v>0</v>
      </c>
      <c r="F171" s="8" t="n">
        <v>0</v>
      </c>
      <c r="G171" s="18" t="n">
        <f aca="false">C171*(1+IF(A171&gt;=Inputs!$B$5,Inputs!$B$4,0))*(1+Inputs!$B$2*MAX(E171,F171*Inputs!$B$3))</f>
        <v>402.4</v>
      </c>
      <c r="H171" s="18" t="n">
        <f aca="false">C171*(1+IF(A171&gt;=Inputs!$C$5,Inputs!$C$4,0))*(1+Inputs!$C$2*MAX(E171,F171*Inputs!$C$3))</f>
        <v>402.4</v>
      </c>
      <c r="I171" s="18" t="n">
        <f aca="false">C171*(1+IF(A171&gt;=Inputs!$D$5,Inputs!$D$4,0))*(1+Inputs!$D$2*MAX(E171,F171*Inputs!$D$3))</f>
        <v>402.4</v>
      </c>
    </row>
    <row r="172" customFormat="false" ht="15" hidden="false" customHeight="false" outlineLevel="0" collapsed="false">
      <c r="A172" s="16" t="n">
        <v>45644</v>
      </c>
      <c r="B172" s="8" t="str">
        <f aca="false">TEXT(A172,"yyyy-mm")</f>
        <v>2024-12</v>
      </c>
      <c r="C172" s="17" t="n">
        <v>402.4</v>
      </c>
      <c r="D172" s="8"/>
      <c r="E172" s="8" t="n">
        <v>0</v>
      </c>
      <c r="F172" s="8" t="n">
        <v>0</v>
      </c>
      <c r="G172" s="18" t="n">
        <f aca="false">C172*(1+IF(A172&gt;=Inputs!$B$5,Inputs!$B$4,0))*(1+Inputs!$B$2*MAX(E172,F172*Inputs!$B$3))</f>
        <v>402.4</v>
      </c>
      <c r="H172" s="18" t="n">
        <f aca="false">C172*(1+IF(A172&gt;=Inputs!$C$5,Inputs!$C$4,0))*(1+Inputs!$C$2*MAX(E172,F172*Inputs!$C$3))</f>
        <v>402.4</v>
      </c>
      <c r="I172" s="18" t="n">
        <f aca="false">C172*(1+IF(A172&gt;=Inputs!$D$5,Inputs!$D$4,0))*(1+Inputs!$D$2*MAX(E172,F172*Inputs!$D$3))</f>
        <v>402.4</v>
      </c>
    </row>
    <row r="173" customFormat="false" ht="15" hidden="false" customHeight="false" outlineLevel="0" collapsed="false">
      <c r="A173" s="16" t="n">
        <v>45645</v>
      </c>
      <c r="B173" s="8" t="str">
        <f aca="false">TEXT(A173,"yyyy-mm")</f>
        <v>2024-12</v>
      </c>
      <c r="C173" s="17" t="n">
        <v>402.4</v>
      </c>
      <c r="D173" s="8"/>
      <c r="E173" s="8" t="n">
        <v>0</v>
      </c>
      <c r="F173" s="8" t="n">
        <v>0</v>
      </c>
      <c r="G173" s="18" t="n">
        <f aca="false">C173*(1+IF(A173&gt;=Inputs!$B$5,Inputs!$B$4,0))*(1+Inputs!$B$2*MAX(E173,F173*Inputs!$B$3))</f>
        <v>402.4</v>
      </c>
      <c r="H173" s="18" t="n">
        <f aca="false">C173*(1+IF(A173&gt;=Inputs!$C$5,Inputs!$C$4,0))*(1+Inputs!$C$2*MAX(E173,F173*Inputs!$C$3))</f>
        <v>402.4</v>
      </c>
      <c r="I173" s="18" t="n">
        <f aca="false">C173*(1+IF(A173&gt;=Inputs!$D$5,Inputs!$D$4,0))*(1+Inputs!$D$2*MAX(E173,F173*Inputs!$D$3))</f>
        <v>402.4</v>
      </c>
    </row>
    <row r="174" customFormat="false" ht="15" hidden="false" customHeight="false" outlineLevel="0" collapsed="false">
      <c r="A174" s="16" t="n">
        <v>45646</v>
      </c>
      <c r="B174" s="8" t="str">
        <f aca="false">TEXT(A174,"yyyy-mm")</f>
        <v>2024-12</v>
      </c>
      <c r="C174" s="17" t="n">
        <v>402.4</v>
      </c>
      <c r="D174" s="8"/>
      <c r="E174" s="8" t="n">
        <v>0</v>
      </c>
      <c r="F174" s="8" t="n">
        <v>0</v>
      </c>
      <c r="G174" s="18" t="n">
        <f aca="false">C174*(1+IF(A174&gt;=Inputs!$B$5,Inputs!$B$4,0))*(1+Inputs!$B$2*MAX(E174,F174*Inputs!$B$3))</f>
        <v>402.4</v>
      </c>
      <c r="H174" s="18" t="n">
        <f aca="false">C174*(1+IF(A174&gt;=Inputs!$C$5,Inputs!$C$4,0))*(1+Inputs!$C$2*MAX(E174,F174*Inputs!$C$3))</f>
        <v>402.4</v>
      </c>
      <c r="I174" s="18" t="n">
        <f aca="false">C174*(1+IF(A174&gt;=Inputs!$D$5,Inputs!$D$4,0))*(1+Inputs!$D$2*MAX(E174,F174*Inputs!$D$3))</f>
        <v>402.4</v>
      </c>
    </row>
    <row r="175" customFormat="false" ht="15" hidden="false" customHeight="false" outlineLevel="0" collapsed="false">
      <c r="A175" s="16" t="n">
        <v>45647</v>
      </c>
      <c r="B175" s="8" t="str">
        <f aca="false">TEXT(A175,"yyyy-mm")</f>
        <v>2024-12</v>
      </c>
      <c r="C175" s="17" t="n">
        <v>402.4</v>
      </c>
      <c r="D175" s="8"/>
      <c r="E175" s="8" t="n">
        <v>0</v>
      </c>
      <c r="F175" s="8" t="n">
        <v>0</v>
      </c>
      <c r="G175" s="18" t="n">
        <f aca="false">C175*(1+IF(A175&gt;=Inputs!$B$5,Inputs!$B$4,0))*(1+Inputs!$B$2*MAX(E175,F175*Inputs!$B$3))</f>
        <v>402.4</v>
      </c>
      <c r="H175" s="18" t="n">
        <f aca="false">C175*(1+IF(A175&gt;=Inputs!$C$5,Inputs!$C$4,0))*(1+Inputs!$C$2*MAX(E175,F175*Inputs!$C$3))</f>
        <v>402.4</v>
      </c>
      <c r="I175" s="18" t="n">
        <f aca="false">C175*(1+IF(A175&gt;=Inputs!$D$5,Inputs!$D$4,0))*(1+Inputs!$D$2*MAX(E175,F175*Inputs!$D$3))</f>
        <v>402.4</v>
      </c>
    </row>
    <row r="176" customFormat="false" ht="15" hidden="false" customHeight="false" outlineLevel="0" collapsed="false">
      <c r="A176" s="16" t="n">
        <v>45648</v>
      </c>
      <c r="B176" s="8" t="str">
        <f aca="false">TEXT(A176,"yyyy-mm")</f>
        <v>2024-12</v>
      </c>
      <c r="C176" s="17" t="n">
        <v>402.4</v>
      </c>
      <c r="D176" s="8"/>
      <c r="E176" s="8" t="n">
        <v>0</v>
      </c>
      <c r="F176" s="8" t="n">
        <v>0</v>
      </c>
      <c r="G176" s="18" t="n">
        <f aca="false">C176*(1+IF(A176&gt;=Inputs!$B$5,Inputs!$B$4,0))*(1+Inputs!$B$2*MAX(E176,F176*Inputs!$B$3))</f>
        <v>402.4</v>
      </c>
      <c r="H176" s="18" t="n">
        <f aca="false">C176*(1+IF(A176&gt;=Inputs!$C$5,Inputs!$C$4,0))*(1+Inputs!$C$2*MAX(E176,F176*Inputs!$C$3))</f>
        <v>402.4</v>
      </c>
      <c r="I176" s="18" t="n">
        <f aca="false">C176*(1+IF(A176&gt;=Inputs!$D$5,Inputs!$D$4,0))*(1+Inputs!$D$2*MAX(E176,F176*Inputs!$D$3))</f>
        <v>402.4</v>
      </c>
    </row>
    <row r="177" customFormat="false" ht="15" hidden="false" customHeight="false" outlineLevel="0" collapsed="false">
      <c r="A177" s="16" t="n">
        <v>45649</v>
      </c>
      <c r="B177" s="8" t="str">
        <f aca="false">TEXT(A177,"yyyy-mm")</f>
        <v>2024-12</v>
      </c>
      <c r="C177" s="17" t="n">
        <v>402.4</v>
      </c>
      <c r="D177" s="8"/>
      <c r="E177" s="8" t="n">
        <v>0</v>
      </c>
      <c r="F177" s="8" t="n">
        <v>0</v>
      </c>
      <c r="G177" s="18" t="n">
        <f aca="false">C177*(1+IF(A177&gt;=Inputs!$B$5,Inputs!$B$4,0))*(1+Inputs!$B$2*MAX(E177,F177*Inputs!$B$3))</f>
        <v>402.4</v>
      </c>
      <c r="H177" s="18" t="n">
        <f aca="false">C177*(1+IF(A177&gt;=Inputs!$C$5,Inputs!$C$4,0))*(1+Inputs!$C$2*MAX(E177,F177*Inputs!$C$3))</f>
        <v>402.4</v>
      </c>
      <c r="I177" s="18" t="n">
        <f aca="false">C177*(1+IF(A177&gt;=Inputs!$D$5,Inputs!$D$4,0))*(1+Inputs!$D$2*MAX(E177,F177*Inputs!$D$3))</f>
        <v>402.4</v>
      </c>
    </row>
    <row r="178" customFormat="false" ht="15" hidden="false" customHeight="false" outlineLevel="0" collapsed="false">
      <c r="A178" s="16" t="n">
        <v>45650</v>
      </c>
      <c r="B178" s="8" t="str">
        <f aca="false">TEXT(A178,"yyyy-mm")</f>
        <v>2024-12</v>
      </c>
      <c r="C178" s="17" t="n">
        <v>402.4</v>
      </c>
      <c r="D178" s="8"/>
      <c r="E178" s="8" t="n">
        <v>0</v>
      </c>
      <c r="F178" s="8" t="n">
        <v>0</v>
      </c>
      <c r="G178" s="18" t="n">
        <f aca="false">C178*(1+IF(A178&gt;=Inputs!$B$5,Inputs!$B$4,0))*(1+Inputs!$B$2*MAX(E178,F178*Inputs!$B$3))</f>
        <v>402.4</v>
      </c>
      <c r="H178" s="18" t="n">
        <f aca="false">C178*(1+IF(A178&gt;=Inputs!$C$5,Inputs!$C$4,0))*(1+Inputs!$C$2*MAX(E178,F178*Inputs!$C$3))</f>
        <v>402.4</v>
      </c>
      <c r="I178" s="18" t="n">
        <f aca="false">C178*(1+IF(A178&gt;=Inputs!$D$5,Inputs!$D$4,0))*(1+Inputs!$D$2*MAX(E178,F178*Inputs!$D$3))</f>
        <v>402.4</v>
      </c>
    </row>
    <row r="179" customFormat="false" ht="15" hidden="false" customHeight="false" outlineLevel="0" collapsed="false">
      <c r="A179" s="16" t="n">
        <v>45651</v>
      </c>
      <c r="B179" s="8" t="str">
        <f aca="false">TEXT(A179,"yyyy-mm")</f>
        <v>2024-12</v>
      </c>
      <c r="C179" s="17" t="n">
        <v>402.4</v>
      </c>
      <c r="D179" s="8"/>
      <c r="E179" s="8" t="n">
        <v>0</v>
      </c>
      <c r="F179" s="8" t="n">
        <v>0</v>
      </c>
      <c r="G179" s="18" t="n">
        <f aca="false">C179*(1+IF(A179&gt;=Inputs!$B$5,Inputs!$B$4,0))*(1+Inputs!$B$2*MAX(E179,F179*Inputs!$B$3))</f>
        <v>402.4</v>
      </c>
      <c r="H179" s="18" t="n">
        <f aca="false">C179*(1+IF(A179&gt;=Inputs!$C$5,Inputs!$C$4,0))*(1+Inputs!$C$2*MAX(E179,F179*Inputs!$C$3))</f>
        <v>402.4</v>
      </c>
      <c r="I179" s="18" t="n">
        <f aca="false">C179*(1+IF(A179&gt;=Inputs!$D$5,Inputs!$D$4,0))*(1+Inputs!$D$2*MAX(E179,F179*Inputs!$D$3))</f>
        <v>402.4</v>
      </c>
    </row>
    <row r="180" customFormat="false" ht="15" hidden="false" customHeight="false" outlineLevel="0" collapsed="false">
      <c r="A180" s="16" t="n">
        <v>45652</v>
      </c>
      <c r="B180" s="8" t="str">
        <f aca="false">TEXT(A180,"yyyy-mm")</f>
        <v>2024-12</v>
      </c>
      <c r="C180" s="17" t="n">
        <v>402.4</v>
      </c>
      <c r="D180" s="8" t="s">
        <v>61</v>
      </c>
      <c r="E180" s="8" t="n">
        <v>1</v>
      </c>
      <c r="F180" s="8" t="n">
        <v>0</v>
      </c>
      <c r="G180" s="18" t="n">
        <f aca="false">C180*(1+IF(A180&gt;=Inputs!$B$5,Inputs!$B$4,0))*(1+Inputs!$B$2*MAX(E180,F180*Inputs!$B$3))</f>
        <v>503</v>
      </c>
      <c r="H180" s="18" t="n">
        <f aca="false">C180*(1+IF(A180&gt;=Inputs!$C$5,Inputs!$C$4,0))*(1+Inputs!$C$2*MAX(E180,F180*Inputs!$C$3))</f>
        <v>603.6</v>
      </c>
      <c r="I180" s="18" t="n">
        <f aca="false">C180*(1+IF(A180&gt;=Inputs!$D$5,Inputs!$D$4,0))*(1+Inputs!$D$2*MAX(E180,F180*Inputs!$D$3))</f>
        <v>503</v>
      </c>
    </row>
    <row r="181" customFormat="false" ht="15" hidden="false" customHeight="false" outlineLevel="0" collapsed="false">
      <c r="A181" s="16" t="n">
        <v>45653</v>
      </c>
      <c r="B181" s="8" t="str">
        <f aca="false">TEXT(A181,"yyyy-mm")</f>
        <v>2024-12</v>
      </c>
      <c r="C181" s="17" t="n">
        <v>402.4</v>
      </c>
      <c r="D181" s="8" t="s">
        <v>61</v>
      </c>
      <c r="E181" s="8" t="n">
        <v>1</v>
      </c>
      <c r="F181" s="8" t="n">
        <v>0</v>
      </c>
      <c r="G181" s="18" t="n">
        <f aca="false">C181*(1+IF(A181&gt;=Inputs!$B$5,Inputs!$B$4,0))*(1+Inputs!$B$2*MAX(E181,F181*Inputs!$B$3))</f>
        <v>503</v>
      </c>
      <c r="H181" s="18" t="n">
        <f aca="false">C181*(1+IF(A181&gt;=Inputs!$C$5,Inputs!$C$4,0))*(1+Inputs!$C$2*MAX(E181,F181*Inputs!$C$3))</f>
        <v>603.6</v>
      </c>
      <c r="I181" s="18" t="n">
        <f aca="false">C181*(1+IF(A181&gt;=Inputs!$D$5,Inputs!$D$4,0))*(1+Inputs!$D$2*MAX(E181,F181*Inputs!$D$3))</f>
        <v>503</v>
      </c>
    </row>
    <row r="182" customFormat="false" ht="15" hidden="false" customHeight="false" outlineLevel="0" collapsed="false">
      <c r="A182" s="16" t="n">
        <v>45654</v>
      </c>
      <c r="B182" s="8" t="str">
        <f aca="false">TEXT(A182,"yyyy-mm")</f>
        <v>2024-12</v>
      </c>
      <c r="C182" s="17" t="n">
        <v>402.4</v>
      </c>
      <c r="D182" s="8"/>
      <c r="E182" s="8" t="n">
        <v>0</v>
      </c>
      <c r="F182" s="8" t="n">
        <v>0</v>
      </c>
      <c r="G182" s="18" t="n">
        <f aca="false">C182*(1+IF(A182&gt;=Inputs!$B$5,Inputs!$B$4,0))*(1+Inputs!$B$2*MAX(E182,F182*Inputs!$B$3))</f>
        <v>402.4</v>
      </c>
      <c r="H182" s="18" t="n">
        <f aca="false">C182*(1+IF(A182&gt;=Inputs!$C$5,Inputs!$C$4,0))*(1+Inputs!$C$2*MAX(E182,F182*Inputs!$C$3))</f>
        <v>402.4</v>
      </c>
      <c r="I182" s="18" t="n">
        <f aca="false">C182*(1+IF(A182&gt;=Inputs!$D$5,Inputs!$D$4,0))*(1+Inputs!$D$2*MAX(E182,F182*Inputs!$D$3))</f>
        <v>402.4</v>
      </c>
    </row>
    <row r="183" customFormat="false" ht="15" hidden="false" customHeight="false" outlineLevel="0" collapsed="false">
      <c r="A183" s="16" t="n">
        <v>45655</v>
      </c>
      <c r="B183" s="8" t="str">
        <f aca="false">TEXT(A183,"yyyy-mm")</f>
        <v>2024-12</v>
      </c>
      <c r="C183" s="17" t="n">
        <v>402.4</v>
      </c>
      <c r="D183" s="8"/>
      <c r="E183" s="8" t="n">
        <v>0</v>
      </c>
      <c r="F183" s="8" t="n">
        <v>0</v>
      </c>
      <c r="G183" s="18" t="n">
        <f aca="false">C183*(1+IF(A183&gt;=Inputs!$B$5,Inputs!$B$4,0))*(1+Inputs!$B$2*MAX(E183,F183*Inputs!$B$3))</f>
        <v>402.4</v>
      </c>
      <c r="H183" s="18" t="n">
        <f aca="false">C183*(1+IF(A183&gt;=Inputs!$C$5,Inputs!$C$4,0))*(1+Inputs!$C$2*MAX(E183,F183*Inputs!$C$3))</f>
        <v>402.4</v>
      </c>
      <c r="I183" s="18" t="n">
        <f aca="false">C183*(1+IF(A183&gt;=Inputs!$D$5,Inputs!$D$4,0))*(1+Inputs!$D$2*MAX(E183,F183*Inputs!$D$3))</f>
        <v>402.4</v>
      </c>
    </row>
    <row r="184" customFormat="false" ht="15" hidden="false" customHeight="false" outlineLevel="0" collapsed="false">
      <c r="A184" s="16" t="n">
        <v>45656</v>
      </c>
      <c r="B184" s="8" t="str">
        <f aca="false">TEXT(A184,"yyyy-mm")</f>
        <v>2024-12</v>
      </c>
      <c r="C184" s="17" t="n">
        <v>402.4</v>
      </c>
      <c r="D184" s="8"/>
      <c r="E184" s="8" t="n">
        <v>0</v>
      </c>
      <c r="F184" s="8" t="n">
        <v>0</v>
      </c>
      <c r="G184" s="18" t="n">
        <f aca="false">C184*(1+IF(A184&gt;=Inputs!$B$5,Inputs!$B$4,0))*(1+Inputs!$B$2*MAX(E184,F184*Inputs!$B$3))</f>
        <v>402.4</v>
      </c>
      <c r="H184" s="18" t="n">
        <f aca="false">C184*(1+IF(A184&gt;=Inputs!$C$5,Inputs!$C$4,0))*(1+Inputs!$C$2*MAX(E184,F184*Inputs!$C$3))</f>
        <v>402.4</v>
      </c>
      <c r="I184" s="18" t="n">
        <f aca="false">C184*(1+IF(A184&gt;=Inputs!$D$5,Inputs!$D$4,0))*(1+Inputs!$D$2*MAX(E184,F184*Inputs!$D$3))</f>
        <v>402.4</v>
      </c>
    </row>
    <row r="185" customFormat="false" ht="15" hidden="false" customHeight="false" outlineLevel="0" collapsed="false">
      <c r="A185" s="16" t="n">
        <v>45657</v>
      </c>
      <c r="B185" s="8" t="str">
        <f aca="false">TEXT(A185,"yyyy-mm")</f>
        <v>2024-12</v>
      </c>
      <c r="C185" s="17" t="n">
        <v>402.4</v>
      </c>
      <c r="D185" s="8"/>
      <c r="E185" s="8" t="n">
        <v>0</v>
      </c>
      <c r="F185" s="8" t="n">
        <v>0</v>
      </c>
      <c r="G185" s="18" t="n">
        <f aca="false">C185*(1+IF(A185&gt;=Inputs!$B$5,Inputs!$B$4,0))*(1+Inputs!$B$2*MAX(E185,F185*Inputs!$B$3))</f>
        <v>402.4</v>
      </c>
      <c r="H185" s="18" t="n">
        <f aca="false">C185*(1+IF(A185&gt;=Inputs!$C$5,Inputs!$C$4,0))*(1+Inputs!$C$2*MAX(E185,F185*Inputs!$C$3))</f>
        <v>402.4</v>
      </c>
      <c r="I185" s="18" t="n">
        <f aca="false">C185*(1+IF(A185&gt;=Inputs!$D$5,Inputs!$D$4,0))*(1+Inputs!$D$2*MAX(E185,F185*Inputs!$D$3))</f>
        <v>402.4</v>
      </c>
    </row>
    <row r="186" customFormat="false" ht="15" hidden="false" customHeight="false" outlineLevel="0" collapsed="false">
      <c r="A186" s="16" t="n">
        <v>45658</v>
      </c>
      <c r="B186" s="8" t="str">
        <f aca="false">TEXT(A186,"yyyy-mm")</f>
        <v>2025-01</v>
      </c>
      <c r="C186" s="17" t="n">
        <v>402.4</v>
      </c>
      <c r="D186" s="8"/>
      <c r="E186" s="8" t="n">
        <v>0</v>
      </c>
      <c r="F186" s="8" t="n">
        <v>0</v>
      </c>
      <c r="G186" s="18" t="n">
        <f aca="false">C186*(1+IF(A186&gt;=Inputs!$B$5,Inputs!$B$4,0))*(1+Inputs!$B$2*MAX(E186,F186*Inputs!$B$3))</f>
        <v>402.4</v>
      </c>
      <c r="H186" s="18" t="n">
        <f aca="false">C186*(1+IF(A186&gt;=Inputs!$C$5,Inputs!$C$4,0))*(1+Inputs!$C$2*MAX(E186,F186*Inputs!$C$3))</f>
        <v>402.4</v>
      </c>
      <c r="I186" s="18" t="n">
        <f aca="false">C186*(1+IF(A186&gt;=Inputs!$D$5,Inputs!$D$4,0))*(1+Inputs!$D$2*MAX(E186,F186*Inputs!$D$3))</f>
        <v>362.16</v>
      </c>
    </row>
    <row r="187" customFormat="false" ht="15" hidden="false" customHeight="false" outlineLevel="0" collapsed="false">
      <c r="A187" s="16" t="n">
        <v>45659</v>
      </c>
      <c r="B187" s="8" t="str">
        <f aca="false">TEXT(A187,"yyyy-mm")</f>
        <v>2025-01</v>
      </c>
      <c r="C187" s="17" t="n">
        <v>402.4</v>
      </c>
      <c r="D187" s="8"/>
      <c r="E187" s="8" t="n">
        <v>0</v>
      </c>
      <c r="F187" s="8" t="n">
        <v>0</v>
      </c>
      <c r="G187" s="18" t="n">
        <f aca="false">C187*(1+IF(A187&gt;=Inputs!$B$5,Inputs!$B$4,0))*(1+Inputs!$B$2*MAX(E187,F187*Inputs!$B$3))</f>
        <v>402.4</v>
      </c>
      <c r="H187" s="18" t="n">
        <f aca="false">C187*(1+IF(A187&gt;=Inputs!$C$5,Inputs!$C$4,0))*(1+Inputs!$C$2*MAX(E187,F187*Inputs!$C$3))</f>
        <v>402.4</v>
      </c>
      <c r="I187" s="18" t="n">
        <f aca="false">C187*(1+IF(A187&gt;=Inputs!$D$5,Inputs!$D$4,0))*(1+Inputs!$D$2*MAX(E187,F187*Inputs!$D$3))</f>
        <v>362.16</v>
      </c>
    </row>
    <row r="188" customFormat="false" ht="15" hidden="false" customHeight="false" outlineLevel="0" collapsed="false">
      <c r="A188" s="16" t="n">
        <v>45660</v>
      </c>
      <c r="B188" s="8" t="str">
        <f aca="false">TEXT(A188,"yyyy-mm")</f>
        <v>2025-01</v>
      </c>
      <c r="C188" s="17" t="n">
        <v>402.4</v>
      </c>
      <c r="D188" s="8"/>
      <c r="E188" s="8" t="n">
        <v>0</v>
      </c>
      <c r="F188" s="8" t="n">
        <v>1</v>
      </c>
      <c r="G188" s="18" t="n">
        <f aca="false">C188*(1+IF(A188&gt;=Inputs!$B$5,Inputs!$B$4,0))*(1+Inputs!$B$2*MAX(E188,F188*Inputs!$B$3))</f>
        <v>402.4</v>
      </c>
      <c r="H188" s="18" t="n">
        <f aca="false">C188*(1+IF(A188&gt;=Inputs!$C$5,Inputs!$C$4,0))*(1+Inputs!$C$2*MAX(E188,F188*Inputs!$C$3))</f>
        <v>603.6</v>
      </c>
      <c r="I188" s="18" t="n">
        <f aca="false">C188*(1+IF(A188&gt;=Inputs!$D$5,Inputs!$D$4,0))*(1+Inputs!$D$2*MAX(E188,F188*Inputs!$D$3))</f>
        <v>362.16</v>
      </c>
    </row>
    <row r="189" customFormat="false" ht="15" hidden="false" customHeight="false" outlineLevel="0" collapsed="false">
      <c r="A189" s="16" t="n">
        <v>45661</v>
      </c>
      <c r="B189" s="8" t="str">
        <f aca="false">TEXT(A189,"yyyy-mm")</f>
        <v>2025-01</v>
      </c>
      <c r="C189" s="17" t="n">
        <v>402.4</v>
      </c>
      <c r="D189" s="8"/>
      <c r="E189" s="8" t="n">
        <v>0</v>
      </c>
      <c r="F189" s="8" t="n">
        <v>1</v>
      </c>
      <c r="G189" s="18" t="n">
        <f aca="false">C189*(1+IF(A189&gt;=Inputs!$B$5,Inputs!$B$4,0))*(1+Inputs!$B$2*MAX(E189,F189*Inputs!$B$3))</f>
        <v>402.4</v>
      </c>
      <c r="H189" s="18" t="n">
        <f aca="false">C189*(1+IF(A189&gt;=Inputs!$C$5,Inputs!$C$4,0))*(1+Inputs!$C$2*MAX(E189,F189*Inputs!$C$3))</f>
        <v>603.6</v>
      </c>
      <c r="I189" s="18" t="n">
        <f aca="false">C189*(1+IF(A189&gt;=Inputs!$D$5,Inputs!$D$4,0))*(1+Inputs!$D$2*MAX(E189,F189*Inputs!$D$3))</f>
        <v>362.16</v>
      </c>
    </row>
    <row r="190" customFormat="false" ht="15" hidden="false" customHeight="false" outlineLevel="0" collapsed="false">
      <c r="A190" s="16" t="n">
        <v>45662</v>
      </c>
      <c r="B190" s="8" t="str">
        <f aca="false">TEXT(A190,"yyyy-mm")</f>
        <v>2025-01</v>
      </c>
      <c r="C190" s="17" t="n">
        <v>402.4</v>
      </c>
      <c r="D190" s="8"/>
      <c r="E190" s="8" t="n">
        <v>0</v>
      </c>
      <c r="F190" s="8" t="n">
        <v>0</v>
      </c>
      <c r="G190" s="18" t="n">
        <f aca="false">C190*(1+IF(A190&gt;=Inputs!$B$5,Inputs!$B$4,0))*(1+Inputs!$B$2*MAX(E190,F190*Inputs!$B$3))</f>
        <v>402.4</v>
      </c>
      <c r="H190" s="18" t="n">
        <f aca="false">C190*(1+IF(A190&gt;=Inputs!$C$5,Inputs!$C$4,0))*(1+Inputs!$C$2*MAX(E190,F190*Inputs!$C$3))</f>
        <v>402.4</v>
      </c>
      <c r="I190" s="18" t="n">
        <f aca="false">C190*(1+IF(A190&gt;=Inputs!$D$5,Inputs!$D$4,0))*(1+Inputs!$D$2*MAX(E190,F190*Inputs!$D$3))</f>
        <v>362.16</v>
      </c>
    </row>
    <row r="191" customFormat="false" ht="15" hidden="false" customHeight="false" outlineLevel="0" collapsed="false">
      <c r="A191" s="16" t="n">
        <v>45663</v>
      </c>
      <c r="B191" s="8" t="str">
        <f aca="false">TEXT(A191,"yyyy-mm")</f>
        <v>2025-01</v>
      </c>
      <c r="C191" s="17" t="n">
        <v>402.4</v>
      </c>
      <c r="D191" s="8"/>
      <c r="E191" s="8" t="n">
        <v>0</v>
      </c>
      <c r="F191" s="8" t="n">
        <v>0</v>
      </c>
      <c r="G191" s="18" t="n">
        <f aca="false">C191*(1+IF(A191&gt;=Inputs!$B$5,Inputs!$B$4,0))*(1+Inputs!$B$2*MAX(E191,F191*Inputs!$B$3))</f>
        <v>402.4</v>
      </c>
      <c r="H191" s="18" t="n">
        <f aca="false">C191*(1+IF(A191&gt;=Inputs!$C$5,Inputs!$C$4,0))*(1+Inputs!$C$2*MAX(E191,F191*Inputs!$C$3))</f>
        <v>402.4</v>
      </c>
      <c r="I191" s="18" t="n">
        <f aca="false">C191*(1+IF(A191&gt;=Inputs!$D$5,Inputs!$D$4,0))*(1+Inputs!$D$2*MAX(E191,F191*Inputs!$D$3))</f>
        <v>362.16</v>
      </c>
    </row>
    <row r="192" customFormat="false" ht="15" hidden="false" customHeight="false" outlineLevel="0" collapsed="false">
      <c r="A192" s="16" t="n">
        <v>45664</v>
      </c>
      <c r="B192" s="8" t="str">
        <f aca="false">TEXT(A192,"yyyy-mm")</f>
        <v>2025-01</v>
      </c>
      <c r="C192" s="17" t="n">
        <v>402.4</v>
      </c>
      <c r="D192" s="8"/>
      <c r="E192" s="8" t="n">
        <v>0</v>
      </c>
      <c r="F192" s="8" t="n">
        <v>0</v>
      </c>
      <c r="G192" s="18" t="n">
        <f aca="false">C192*(1+IF(A192&gt;=Inputs!$B$5,Inputs!$B$4,0))*(1+Inputs!$B$2*MAX(E192,F192*Inputs!$B$3))</f>
        <v>402.4</v>
      </c>
      <c r="H192" s="18" t="n">
        <f aca="false">C192*(1+IF(A192&gt;=Inputs!$C$5,Inputs!$C$4,0))*(1+Inputs!$C$2*MAX(E192,F192*Inputs!$C$3))</f>
        <v>402.4</v>
      </c>
      <c r="I192" s="18" t="n">
        <f aca="false">C192*(1+IF(A192&gt;=Inputs!$D$5,Inputs!$D$4,0))*(1+Inputs!$D$2*MAX(E192,F192*Inputs!$D$3))</f>
        <v>362.16</v>
      </c>
    </row>
    <row r="193" customFormat="false" ht="15" hidden="false" customHeight="false" outlineLevel="0" collapsed="false">
      <c r="A193" s="16" t="n">
        <v>45665</v>
      </c>
      <c r="B193" s="8" t="str">
        <f aca="false">TEXT(A193,"yyyy-mm")</f>
        <v>2025-01</v>
      </c>
      <c r="C193" s="17" t="n">
        <v>402.4</v>
      </c>
      <c r="D193" s="8"/>
      <c r="E193" s="8" t="n">
        <v>0</v>
      </c>
      <c r="F193" s="8" t="n">
        <v>0</v>
      </c>
      <c r="G193" s="18" t="n">
        <f aca="false">C193*(1+IF(A193&gt;=Inputs!$B$5,Inputs!$B$4,0))*(1+Inputs!$B$2*MAX(E193,F193*Inputs!$B$3))</f>
        <v>402.4</v>
      </c>
      <c r="H193" s="18" t="n">
        <f aca="false">C193*(1+IF(A193&gt;=Inputs!$C$5,Inputs!$C$4,0))*(1+Inputs!$C$2*MAX(E193,F193*Inputs!$C$3))</f>
        <v>402.4</v>
      </c>
      <c r="I193" s="18" t="n">
        <f aca="false">C193*(1+IF(A193&gt;=Inputs!$D$5,Inputs!$D$4,0))*(1+Inputs!$D$2*MAX(E193,F193*Inputs!$D$3))</f>
        <v>362.16</v>
      </c>
    </row>
    <row r="194" customFormat="false" ht="15" hidden="false" customHeight="false" outlineLevel="0" collapsed="false">
      <c r="A194" s="16" t="n">
        <v>45666</v>
      </c>
      <c r="B194" s="8" t="str">
        <f aca="false">TEXT(A194,"yyyy-mm")</f>
        <v>2025-01</v>
      </c>
      <c r="C194" s="17" t="n">
        <v>402.4</v>
      </c>
      <c r="D194" s="8"/>
      <c r="E194" s="8" t="n">
        <v>0</v>
      </c>
      <c r="F194" s="8" t="n">
        <v>0</v>
      </c>
      <c r="G194" s="18" t="n">
        <f aca="false">C194*(1+IF(A194&gt;=Inputs!$B$5,Inputs!$B$4,0))*(1+Inputs!$B$2*MAX(E194,F194*Inputs!$B$3))</f>
        <v>402.4</v>
      </c>
      <c r="H194" s="18" t="n">
        <f aca="false">C194*(1+IF(A194&gt;=Inputs!$C$5,Inputs!$C$4,0))*(1+Inputs!$C$2*MAX(E194,F194*Inputs!$C$3))</f>
        <v>402.4</v>
      </c>
      <c r="I194" s="18" t="n">
        <f aca="false">C194*(1+IF(A194&gt;=Inputs!$D$5,Inputs!$D$4,0))*(1+Inputs!$D$2*MAX(E194,F194*Inputs!$D$3))</f>
        <v>362.16</v>
      </c>
    </row>
    <row r="195" customFormat="false" ht="15" hidden="false" customHeight="false" outlineLevel="0" collapsed="false">
      <c r="A195" s="16" t="n">
        <v>45667</v>
      </c>
      <c r="B195" s="8" t="str">
        <f aca="false">TEXT(A195,"yyyy-mm")</f>
        <v>2025-01</v>
      </c>
      <c r="C195" s="17" t="n">
        <v>402.4</v>
      </c>
      <c r="D195" s="8"/>
      <c r="E195" s="8" t="n">
        <v>0</v>
      </c>
      <c r="F195" s="8" t="n">
        <v>0</v>
      </c>
      <c r="G195" s="18" t="n">
        <f aca="false">C195*(1+IF(A195&gt;=Inputs!$B$5,Inputs!$B$4,0))*(1+Inputs!$B$2*MAX(E195,F195*Inputs!$B$3))</f>
        <v>402.4</v>
      </c>
      <c r="H195" s="18" t="n">
        <f aca="false">C195*(1+IF(A195&gt;=Inputs!$C$5,Inputs!$C$4,0))*(1+Inputs!$C$2*MAX(E195,F195*Inputs!$C$3))</f>
        <v>402.4</v>
      </c>
      <c r="I195" s="18" t="n">
        <f aca="false">C195*(1+IF(A195&gt;=Inputs!$D$5,Inputs!$D$4,0))*(1+Inputs!$D$2*MAX(E195,F195*Inputs!$D$3))</f>
        <v>362.16</v>
      </c>
    </row>
    <row r="196" customFormat="false" ht="15" hidden="false" customHeight="false" outlineLevel="0" collapsed="false">
      <c r="A196" s="16" t="n">
        <v>45668</v>
      </c>
      <c r="B196" s="8" t="str">
        <f aca="false">TEXT(A196,"yyyy-mm")</f>
        <v>2025-01</v>
      </c>
      <c r="C196" s="17" t="n">
        <v>402.4</v>
      </c>
      <c r="D196" s="8"/>
      <c r="E196" s="8" t="n">
        <v>0</v>
      </c>
      <c r="F196" s="8" t="n">
        <v>0</v>
      </c>
      <c r="G196" s="18" t="n">
        <f aca="false">C196*(1+IF(A196&gt;=Inputs!$B$5,Inputs!$B$4,0))*(1+Inputs!$B$2*MAX(E196,F196*Inputs!$B$3))</f>
        <v>402.4</v>
      </c>
      <c r="H196" s="18" t="n">
        <f aca="false">C196*(1+IF(A196&gt;=Inputs!$C$5,Inputs!$C$4,0))*(1+Inputs!$C$2*MAX(E196,F196*Inputs!$C$3))</f>
        <v>402.4</v>
      </c>
      <c r="I196" s="18" t="n">
        <f aca="false">C196*(1+IF(A196&gt;=Inputs!$D$5,Inputs!$D$4,0))*(1+Inputs!$D$2*MAX(E196,F196*Inputs!$D$3))</f>
        <v>362.16</v>
      </c>
    </row>
    <row r="197" customFormat="false" ht="15" hidden="false" customHeight="false" outlineLevel="0" collapsed="false">
      <c r="A197" s="16" t="n">
        <v>45669</v>
      </c>
      <c r="B197" s="8" t="str">
        <f aca="false">TEXT(A197,"yyyy-mm")</f>
        <v>2025-01</v>
      </c>
      <c r="C197" s="17" t="n">
        <v>402.4</v>
      </c>
      <c r="D197" s="8"/>
      <c r="E197" s="8" t="n">
        <v>0</v>
      </c>
      <c r="F197" s="8" t="n">
        <v>0</v>
      </c>
      <c r="G197" s="18" t="n">
        <f aca="false">C197*(1+IF(A197&gt;=Inputs!$B$5,Inputs!$B$4,0))*(1+Inputs!$B$2*MAX(E197,F197*Inputs!$B$3))</f>
        <v>402.4</v>
      </c>
      <c r="H197" s="18" t="n">
        <f aca="false">C197*(1+IF(A197&gt;=Inputs!$C$5,Inputs!$C$4,0))*(1+Inputs!$C$2*MAX(E197,F197*Inputs!$C$3))</f>
        <v>402.4</v>
      </c>
      <c r="I197" s="18" t="n">
        <f aca="false">C197*(1+IF(A197&gt;=Inputs!$D$5,Inputs!$D$4,0))*(1+Inputs!$D$2*MAX(E197,F197*Inputs!$D$3))</f>
        <v>362.16</v>
      </c>
    </row>
    <row r="198" customFormat="false" ht="15" hidden="false" customHeight="false" outlineLevel="0" collapsed="false">
      <c r="A198" s="16" t="n">
        <v>45670</v>
      </c>
      <c r="B198" s="8" t="str">
        <f aca="false">TEXT(A198,"yyyy-mm")</f>
        <v>2025-01</v>
      </c>
      <c r="C198" s="17" t="n">
        <v>402.4</v>
      </c>
      <c r="D198" s="8"/>
      <c r="E198" s="8" t="n">
        <v>0</v>
      </c>
      <c r="F198" s="8" t="n">
        <v>0</v>
      </c>
      <c r="G198" s="18" t="n">
        <f aca="false">C198*(1+IF(A198&gt;=Inputs!$B$5,Inputs!$B$4,0))*(1+Inputs!$B$2*MAX(E198,F198*Inputs!$B$3))</f>
        <v>402.4</v>
      </c>
      <c r="H198" s="18" t="n">
        <f aca="false">C198*(1+IF(A198&gt;=Inputs!$C$5,Inputs!$C$4,0))*(1+Inputs!$C$2*MAX(E198,F198*Inputs!$C$3))</f>
        <v>402.4</v>
      </c>
      <c r="I198" s="18" t="n">
        <f aca="false">C198*(1+IF(A198&gt;=Inputs!$D$5,Inputs!$D$4,0))*(1+Inputs!$D$2*MAX(E198,F198*Inputs!$D$3))</f>
        <v>362.16</v>
      </c>
    </row>
    <row r="199" customFormat="false" ht="15" hidden="false" customHeight="false" outlineLevel="0" collapsed="false">
      <c r="A199" s="16" t="n">
        <v>45671</v>
      </c>
      <c r="B199" s="8" t="str">
        <f aca="false">TEXT(A199,"yyyy-mm")</f>
        <v>2025-01</v>
      </c>
      <c r="C199" s="17" t="n">
        <v>402.4</v>
      </c>
      <c r="D199" s="8"/>
      <c r="E199" s="8" t="n">
        <v>0</v>
      </c>
      <c r="F199" s="8" t="n">
        <v>0</v>
      </c>
      <c r="G199" s="18" t="n">
        <f aca="false">C199*(1+IF(A199&gt;=Inputs!$B$5,Inputs!$B$4,0))*(1+Inputs!$B$2*MAX(E199,F199*Inputs!$B$3))</f>
        <v>402.4</v>
      </c>
      <c r="H199" s="18" t="n">
        <f aca="false">C199*(1+IF(A199&gt;=Inputs!$C$5,Inputs!$C$4,0))*(1+Inputs!$C$2*MAX(E199,F199*Inputs!$C$3))</f>
        <v>402.4</v>
      </c>
      <c r="I199" s="18" t="n">
        <f aca="false">C199*(1+IF(A199&gt;=Inputs!$D$5,Inputs!$D$4,0))*(1+Inputs!$D$2*MAX(E199,F199*Inputs!$D$3))</f>
        <v>362.16</v>
      </c>
    </row>
    <row r="200" customFormat="false" ht="15" hidden="false" customHeight="false" outlineLevel="0" collapsed="false">
      <c r="A200" s="16" t="n">
        <v>45672</v>
      </c>
      <c r="B200" s="8" t="str">
        <f aca="false">TEXT(A200,"yyyy-mm")</f>
        <v>2025-01</v>
      </c>
      <c r="C200" s="17" t="n">
        <v>402.4</v>
      </c>
      <c r="D200" s="8"/>
      <c r="E200" s="8" t="n">
        <v>0</v>
      </c>
      <c r="F200" s="8" t="n">
        <v>0</v>
      </c>
      <c r="G200" s="18" t="n">
        <f aca="false">C200*(1+IF(A200&gt;=Inputs!$B$5,Inputs!$B$4,0))*(1+Inputs!$B$2*MAX(E200,F200*Inputs!$B$3))</f>
        <v>402.4</v>
      </c>
      <c r="H200" s="18" t="n">
        <f aca="false">C200*(1+IF(A200&gt;=Inputs!$C$5,Inputs!$C$4,0))*(1+Inputs!$C$2*MAX(E200,F200*Inputs!$C$3))</f>
        <v>402.4</v>
      </c>
      <c r="I200" s="18" t="n">
        <f aca="false">C200*(1+IF(A200&gt;=Inputs!$D$5,Inputs!$D$4,0))*(1+Inputs!$D$2*MAX(E200,F200*Inputs!$D$3))</f>
        <v>362.16</v>
      </c>
    </row>
    <row r="201" customFormat="false" ht="15" hidden="false" customHeight="false" outlineLevel="0" collapsed="false">
      <c r="A201" s="16" t="n">
        <v>45673</v>
      </c>
      <c r="B201" s="8" t="str">
        <f aca="false">TEXT(A201,"yyyy-mm")</f>
        <v>2025-01</v>
      </c>
      <c r="C201" s="17" t="n">
        <v>402.4</v>
      </c>
      <c r="D201" s="8"/>
      <c r="E201" s="8" t="n">
        <v>0</v>
      </c>
      <c r="F201" s="8" t="n">
        <v>0</v>
      </c>
      <c r="G201" s="18" t="n">
        <f aca="false">C201*(1+IF(A201&gt;=Inputs!$B$5,Inputs!$B$4,0))*(1+Inputs!$B$2*MAX(E201,F201*Inputs!$B$3))</f>
        <v>402.4</v>
      </c>
      <c r="H201" s="18" t="n">
        <f aca="false">C201*(1+IF(A201&gt;=Inputs!$C$5,Inputs!$C$4,0))*(1+Inputs!$C$2*MAX(E201,F201*Inputs!$C$3))</f>
        <v>402.4</v>
      </c>
      <c r="I201" s="18" t="n">
        <f aca="false">C201*(1+IF(A201&gt;=Inputs!$D$5,Inputs!$D$4,0))*(1+Inputs!$D$2*MAX(E201,F201*Inputs!$D$3))</f>
        <v>362.16</v>
      </c>
    </row>
    <row r="202" customFormat="false" ht="15" hidden="false" customHeight="false" outlineLevel="0" collapsed="false">
      <c r="A202" s="16" t="n">
        <v>45674</v>
      </c>
      <c r="B202" s="8" t="str">
        <f aca="false">TEXT(A202,"yyyy-mm")</f>
        <v>2025-01</v>
      </c>
      <c r="C202" s="17" t="n">
        <v>402.4</v>
      </c>
      <c r="D202" s="8"/>
      <c r="E202" s="8" t="n">
        <v>0</v>
      </c>
      <c r="F202" s="8" t="n">
        <v>0</v>
      </c>
      <c r="G202" s="18" t="n">
        <f aca="false">C202*(1+IF(A202&gt;=Inputs!$B$5,Inputs!$B$4,0))*(1+Inputs!$B$2*MAX(E202,F202*Inputs!$B$3))</f>
        <v>402.4</v>
      </c>
      <c r="H202" s="18" t="n">
        <f aca="false">C202*(1+IF(A202&gt;=Inputs!$C$5,Inputs!$C$4,0))*(1+Inputs!$C$2*MAX(E202,F202*Inputs!$C$3))</f>
        <v>402.4</v>
      </c>
      <c r="I202" s="18" t="n">
        <f aca="false">C202*(1+IF(A202&gt;=Inputs!$D$5,Inputs!$D$4,0))*(1+Inputs!$D$2*MAX(E202,F202*Inputs!$D$3))</f>
        <v>362.16</v>
      </c>
    </row>
    <row r="203" customFormat="false" ht="15" hidden="false" customHeight="false" outlineLevel="0" collapsed="false">
      <c r="A203" s="16" t="n">
        <v>45675</v>
      </c>
      <c r="B203" s="8" t="str">
        <f aca="false">TEXT(A203,"yyyy-mm")</f>
        <v>2025-01</v>
      </c>
      <c r="C203" s="17" t="n">
        <v>402.4</v>
      </c>
      <c r="D203" s="8"/>
      <c r="E203" s="8" t="n">
        <v>0</v>
      </c>
      <c r="F203" s="8" t="n">
        <v>0</v>
      </c>
      <c r="G203" s="18" t="n">
        <f aca="false">C203*(1+IF(A203&gt;=Inputs!$B$5,Inputs!$B$4,0))*(1+Inputs!$B$2*MAX(E203,F203*Inputs!$B$3))</f>
        <v>402.4</v>
      </c>
      <c r="H203" s="18" t="n">
        <f aca="false">C203*(1+IF(A203&gt;=Inputs!$C$5,Inputs!$C$4,0))*(1+Inputs!$C$2*MAX(E203,F203*Inputs!$C$3))</f>
        <v>402.4</v>
      </c>
      <c r="I203" s="18" t="n">
        <f aca="false">C203*(1+IF(A203&gt;=Inputs!$D$5,Inputs!$D$4,0))*(1+Inputs!$D$2*MAX(E203,F203*Inputs!$D$3))</f>
        <v>362.16</v>
      </c>
    </row>
    <row r="204" customFormat="false" ht="15" hidden="false" customHeight="false" outlineLevel="0" collapsed="false">
      <c r="A204" s="16" t="n">
        <v>45676</v>
      </c>
      <c r="B204" s="8" t="str">
        <f aca="false">TEXT(A204,"yyyy-mm")</f>
        <v>2025-01</v>
      </c>
      <c r="C204" s="17" t="n">
        <v>402.4</v>
      </c>
      <c r="D204" s="8"/>
      <c r="E204" s="8" t="n">
        <v>0</v>
      </c>
      <c r="F204" s="8" t="n">
        <v>0</v>
      </c>
      <c r="G204" s="18" t="n">
        <f aca="false">C204*(1+IF(A204&gt;=Inputs!$B$5,Inputs!$B$4,0))*(1+Inputs!$B$2*MAX(E204,F204*Inputs!$B$3))</f>
        <v>402.4</v>
      </c>
      <c r="H204" s="18" t="n">
        <f aca="false">C204*(1+IF(A204&gt;=Inputs!$C$5,Inputs!$C$4,0))*(1+Inputs!$C$2*MAX(E204,F204*Inputs!$C$3))</f>
        <v>402.4</v>
      </c>
      <c r="I204" s="18" t="n">
        <f aca="false">C204*(1+IF(A204&gt;=Inputs!$D$5,Inputs!$D$4,0))*(1+Inputs!$D$2*MAX(E204,F204*Inputs!$D$3))</f>
        <v>362.16</v>
      </c>
    </row>
    <row r="205" customFormat="false" ht="15" hidden="false" customHeight="false" outlineLevel="0" collapsed="false">
      <c r="A205" s="16" t="n">
        <v>45677</v>
      </c>
      <c r="B205" s="8" t="str">
        <f aca="false">TEXT(A205,"yyyy-mm")</f>
        <v>2025-01</v>
      </c>
      <c r="C205" s="17" t="n">
        <v>402.4</v>
      </c>
      <c r="D205" s="8"/>
      <c r="E205" s="8" t="n">
        <v>0</v>
      </c>
      <c r="F205" s="8" t="n">
        <v>0</v>
      </c>
      <c r="G205" s="18" t="n">
        <f aca="false">C205*(1+IF(A205&gt;=Inputs!$B$5,Inputs!$B$4,0))*(1+Inputs!$B$2*MAX(E205,F205*Inputs!$B$3))</f>
        <v>402.4</v>
      </c>
      <c r="H205" s="18" t="n">
        <f aca="false">C205*(1+IF(A205&gt;=Inputs!$C$5,Inputs!$C$4,0))*(1+Inputs!$C$2*MAX(E205,F205*Inputs!$C$3))</f>
        <v>402.4</v>
      </c>
      <c r="I205" s="18" t="n">
        <f aca="false">C205*(1+IF(A205&gt;=Inputs!$D$5,Inputs!$D$4,0))*(1+Inputs!$D$2*MAX(E205,F205*Inputs!$D$3))</f>
        <v>362.16</v>
      </c>
    </row>
    <row r="206" customFormat="false" ht="15" hidden="false" customHeight="false" outlineLevel="0" collapsed="false">
      <c r="A206" s="16" t="n">
        <v>45678</v>
      </c>
      <c r="B206" s="8" t="str">
        <f aca="false">TEXT(A206,"yyyy-mm")</f>
        <v>2025-01</v>
      </c>
      <c r="C206" s="17" t="n">
        <v>402.4</v>
      </c>
      <c r="D206" s="8"/>
      <c r="E206" s="8" t="n">
        <v>0</v>
      </c>
      <c r="F206" s="8" t="n">
        <v>0</v>
      </c>
      <c r="G206" s="18" t="n">
        <f aca="false">C206*(1+IF(A206&gt;=Inputs!$B$5,Inputs!$B$4,0))*(1+Inputs!$B$2*MAX(E206,F206*Inputs!$B$3))</f>
        <v>402.4</v>
      </c>
      <c r="H206" s="18" t="n">
        <f aca="false">C206*(1+IF(A206&gt;=Inputs!$C$5,Inputs!$C$4,0))*(1+Inputs!$C$2*MAX(E206,F206*Inputs!$C$3))</f>
        <v>402.4</v>
      </c>
      <c r="I206" s="18" t="n">
        <f aca="false">C206*(1+IF(A206&gt;=Inputs!$D$5,Inputs!$D$4,0))*(1+Inputs!$D$2*MAX(E206,F206*Inputs!$D$3))</f>
        <v>362.16</v>
      </c>
    </row>
    <row r="207" customFormat="false" ht="15" hidden="false" customHeight="false" outlineLevel="0" collapsed="false">
      <c r="A207" s="16" t="n">
        <v>45679</v>
      </c>
      <c r="B207" s="8" t="str">
        <f aca="false">TEXT(A207,"yyyy-mm")</f>
        <v>2025-01</v>
      </c>
      <c r="C207" s="17" t="n">
        <v>402.4</v>
      </c>
      <c r="D207" s="8"/>
      <c r="E207" s="8" t="n">
        <v>0</v>
      </c>
      <c r="F207" s="8" t="n">
        <v>0</v>
      </c>
      <c r="G207" s="18" t="n">
        <f aca="false">C207*(1+IF(A207&gt;=Inputs!$B$5,Inputs!$B$4,0))*(1+Inputs!$B$2*MAX(E207,F207*Inputs!$B$3))</f>
        <v>402.4</v>
      </c>
      <c r="H207" s="18" t="n">
        <f aca="false">C207*(1+IF(A207&gt;=Inputs!$C$5,Inputs!$C$4,0))*(1+Inputs!$C$2*MAX(E207,F207*Inputs!$C$3))</f>
        <v>402.4</v>
      </c>
      <c r="I207" s="18" t="n">
        <f aca="false">C207*(1+IF(A207&gt;=Inputs!$D$5,Inputs!$D$4,0))*(1+Inputs!$D$2*MAX(E207,F207*Inputs!$D$3))</f>
        <v>362.16</v>
      </c>
    </row>
    <row r="208" customFormat="false" ht="15" hidden="false" customHeight="false" outlineLevel="0" collapsed="false">
      <c r="A208" s="16" t="n">
        <v>45680</v>
      </c>
      <c r="B208" s="8" t="str">
        <f aca="false">TEXT(A208,"yyyy-mm")</f>
        <v>2025-01</v>
      </c>
      <c r="C208" s="17" t="n">
        <v>402.4</v>
      </c>
      <c r="D208" s="8"/>
      <c r="E208" s="8" t="n">
        <v>0</v>
      </c>
      <c r="F208" s="8" t="n">
        <v>0</v>
      </c>
      <c r="G208" s="18" t="n">
        <f aca="false">C208*(1+IF(A208&gt;=Inputs!$B$5,Inputs!$B$4,0))*(1+Inputs!$B$2*MAX(E208,F208*Inputs!$B$3))</f>
        <v>402.4</v>
      </c>
      <c r="H208" s="18" t="n">
        <f aca="false">C208*(1+IF(A208&gt;=Inputs!$C$5,Inputs!$C$4,0))*(1+Inputs!$C$2*MAX(E208,F208*Inputs!$C$3))</f>
        <v>402.4</v>
      </c>
      <c r="I208" s="18" t="n">
        <f aca="false">C208*(1+IF(A208&gt;=Inputs!$D$5,Inputs!$D$4,0))*(1+Inputs!$D$2*MAX(E208,F208*Inputs!$D$3))</f>
        <v>362.16</v>
      </c>
    </row>
    <row r="209" customFormat="false" ht="15" hidden="false" customHeight="false" outlineLevel="0" collapsed="false">
      <c r="A209" s="16" t="n">
        <v>45681</v>
      </c>
      <c r="B209" s="8" t="str">
        <f aca="false">TEXT(A209,"yyyy-mm")</f>
        <v>2025-01</v>
      </c>
      <c r="C209" s="17" t="n">
        <v>402.4</v>
      </c>
      <c r="D209" s="8"/>
      <c r="E209" s="8" t="n">
        <v>0</v>
      </c>
      <c r="F209" s="8" t="n">
        <v>0</v>
      </c>
      <c r="G209" s="18" t="n">
        <f aca="false">C209*(1+IF(A209&gt;=Inputs!$B$5,Inputs!$B$4,0))*(1+Inputs!$B$2*MAX(E209,F209*Inputs!$B$3))</f>
        <v>402.4</v>
      </c>
      <c r="H209" s="18" t="n">
        <f aca="false">C209*(1+IF(A209&gt;=Inputs!$C$5,Inputs!$C$4,0))*(1+Inputs!$C$2*MAX(E209,F209*Inputs!$C$3))</f>
        <v>402.4</v>
      </c>
      <c r="I209" s="18" t="n">
        <f aca="false">C209*(1+IF(A209&gt;=Inputs!$D$5,Inputs!$D$4,0))*(1+Inputs!$D$2*MAX(E209,F209*Inputs!$D$3))</f>
        <v>362.16</v>
      </c>
    </row>
    <row r="210" customFormat="false" ht="15" hidden="false" customHeight="false" outlineLevel="0" collapsed="false">
      <c r="A210" s="16" t="n">
        <v>45682</v>
      </c>
      <c r="B210" s="8" t="str">
        <f aca="false">TEXT(A210,"yyyy-mm")</f>
        <v>2025-01</v>
      </c>
      <c r="C210" s="17" t="n">
        <v>402.4</v>
      </c>
      <c r="D210" s="8"/>
      <c r="E210" s="8" t="n">
        <v>0</v>
      </c>
      <c r="F210" s="8" t="n">
        <v>0</v>
      </c>
      <c r="G210" s="18" t="n">
        <f aca="false">C210*(1+IF(A210&gt;=Inputs!$B$5,Inputs!$B$4,0))*(1+Inputs!$B$2*MAX(E210,F210*Inputs!$B$3))</f>
        <v>402.4</v>
      </c>
      <c r="H210" s="18" t="n">
        <f aca="false">C210*(1+IF(A210&gt;=Inputs!$C$5,Inputs!$C$4,0))*(1+Inputs!$C$2*MAX(E210,F210*Inputs!$C$3))</f>
        <v>402.4</v>
      </c>
      <c r="I210" s="18" t="n">
        <f aca="false">C210*(1+IF(A210&gt;=Inputs!$D$5,Inputs!$D$4,0))*(1+Inputs!$D$2*MAX(E210,F210*Inputs!$D$3))</f>
        <v>362.16</v>
      </c>
    </row>
    <row r="211" customFormat="false" ht="15" hidden="false" customHeight="false" outlineLevel="0" collapsed="false">
      <c r="A211" s="16" t="n">
        <v>45683</v>
      </c>
      <c r="B211" s="8" t="str">
        <f aca="false">TEXT(A211,"yyyy-mm")</f>
        <v>2025-01</v>
      </c>
      <c r="C211" s="17" t="n">
        <v>402.4</v>
      </c>
      <c r="D211" s="8"/>
      <c r="E211" s="8" t="n">
        <v>0</v>
      </c>
      <c r="F211" s="8" t="n">
        <v>0</v>
      </c>
      <c r="G211" s="18" t="n">
        <f aca="false">C211*(1+IF(A211&gt;=Inputs!$B$5,Inputs!$B$4,0))*(1+Inputs!$B$2*MAX(E211,F211*Inputs!$B$3))</f>
        <v>402.4</v>
      </c>
      <c r="H211" s="18" t="n">
        <f aca="false">C211*(1+IF(A211&gt;=Inputs!$C$5,Inputs!$C$4,0))*(1+Inputs!$C$2*MAX(E211,F211*Inputs!$C$3))</f>
        <v>402.4</v>
      </c>
      <c r="I211" s="18" t="n">
        <f aca="false">C211*(1+IF(A211&gt;=Inputs!$D$5,Inputs!$D$4,0))*(1+Inputs!$D$2*MAX(E211,F211*Inputs!$D$3))</f>
        <v>362.16</v>
      </c>
    </row>
    <row r="212" customFormat="false" ht="15" hidden="false" customHeight="false" outlineLevel="0" collapsed="false">
      <c r="A212" s="16" t="n">
        <v>45684</v>
      </c>
      <c r="B212" s="8" t="str">
        <f aca="false">TEXT(A212,"yyyy-mm")</f>
        <v>2025-01</v>
      </c>
      <c r="C212" s="17" t="n">
        <v>402.4</v>
      </c>
      <c r="D212" s="8"/>
      <c r="E212" s="8" t="n">
        <v>0</v>
      </c>
      <c r="F212" s="8" t="n">
        <v>0</v>
      </c>
      <c r="G212" s="18" t="n">
        <f aca="false">C212*(1+IF(A212&gt;=Inputs!$B$5,Inputs!$B$4,0))*(1+Inputs!$B$2*MAX(E212,F212*Inputs!$B$3))</f>
        <v>402.4</v>
      </c>
      <c r="H212" s="18" t="n">
        <f aca="false">C212*(1+IF(A212&gt;=Inputs!$C$5,Inputs!$C$4,0))*(1+Inputs!$C$2*MAX(E212,F212*Inputs!$C$3))</f>
        <v>402.4</v>
      </c>
      <c r="I212" s="18" t="n">
        <f aca="false">C212*(1+IF(A212&gt;=Inputs!$D$5,Inputs!$D$4,0))*(1+Inputs!$D$2*MAX(E212,F212*Inputs!$D$3))</f>
        <v>362.16</v>
      </c>
    </row>
    <row r="213" customFormat="false" ht="15" hidden="false" customHeight="false" outlineLevel="0" collapsed="false">
      <c r="A213" s="16" t="n">
        <v>45685</v>
      </c>
      <c r="B213" s="8" t="str">
        <f aca="false">TEXT(A213,"yyyy-mm")</f>
        <v>2025-01</v>
      </c>
      <c r="C213" s="17" t="n">
        <v>402.4</v>
      </c>
      <c r="D213" s="8"/>
      <c r="E213" s="8" t="n">
        <v>0</v>
      </c>
      <c r="F213" s="8" t="n">
        <v>0</v>
      </c>
      <c r="G213" s="18" t="n">
        <f aca="false">C213*(1+IF(A213&gt;=Inputs!$B$5,Inputs!$B$4,0))*(1+Inputs!$B$2*MAX(E213,F213*Inputs!$B$3))</f>
        <v>402.4</v>
      </c>
      <c r="H213" s="18" t="n">
        <f aca="false">C213*(1+IF(A213&gt;=Inputs!$C$5,Inputs!$C$4,0))*(1+Inputs!$C$2*MAX(E213,F213*Inputs!$C$3))</f>
        <v>402.4</v>
      </c>
      <c r="I213" s="18" t="n">
        <f aca="false">C213*(1+IF(A213&gt;=Inputs!$D$5,Inputs!$D$4,0))*(1+Inputs!$D$2*MAX(E213,F213*Inputs!$D$3))</f>
        <v>362.16</v>
      </c>
    </row>
    <row r="214" customFormat="false" ht="15" hidden="false" customHeight="false" outlineLevel="0" collapsed="false">
      <c r="A214" s="16" t="n">
        <v>45686</v>
      </c>
      <c r="B214" s="8" t="str">
        <f aca="false">TEXT(A214,"yyyy-mm")</f>
        <v>2025-01</v>
      </c>
      <c r="C214" s="17" t="n">
        <v>402.4</v>
      </c>
      <c r="D214" s="8"/>
      <c r="E214" s="8" t="n">
        <v>0</v>
      </c>
      <c r="F214" s="8" t="n">
        <v>0</v>
      </c>
      <c r="G214" s="18" t="n">
        <f aca="false">C214*(1+IF(A214&gt;=Inputs!$B$5,Inputs!$B$4,0))*(1+Inputs!$B$2*MAX(E214,F214*Inputs!$B$3))</f>
        <v>402.4</v>
      </c>
      <c r="H214" s="18" t="n">
        <f aca="false">C214*(1+IF(A214&gt;=Inputs!$C$5,Inputs!$C$4,0))*(1+Inputs!$C$2*MAX(E214,F214*Inputs!$C$3))</f>
        <v>402.4</v>
      </c>
      <c r="I214" s="18" t="n">
        <f aca="false">C214*(1+IF(A214&gt;=Inputs!$D$5,Inputs!$D$4,0))*(1+Inputs!$D$2*MAX(E214,F214*Inputs!$D$3))</f>
        <v>362.16</v>
      </c>
    </row>
    <row r="215" customFormat="false" ht="15" hidden="false" customHeight="false" outlineLevel="0" collapsed="false">
      <c r="A215" s="16" t="n">
        <v>45687</v>
      </c>
      <c r="B215" s="8" t="str">
        <f aca="false">TEXT(A215,"yyyy-mm")</f>
        <v>2025-01</v>
      </c>
      <c r="C215" s="17" t="n">
        <v>402.4</v>
      </c>
      <c r="D215" s="8"/>
      <c r="E215" s="8" t="n">
        <v>0</v>
      </c>
      <c r="F215" s="8" t="n">
        <v>0</v>
      </c>
      <c r="G215" s="18" t="n">
        <f aca="false">C215*(1+IF(A215&gt;=Inputs!$B$5,Inputs!$B$4,0))*(1+Inputs!$B$2*MAX(E215,F215*Inputs!$B$3))</f>
        <v>402.4</v>
      </c>
      <c r="H215" s="18" t="n">
        <f aca="false">C215*(1+IF(A215&gt;=Inputs!$C$5,Inputs!$C$4,0))*(1+Inputs!$C$2*MAX(E215,F215*Inputs!$C$3))</f>
        <v>402.4</v>
      </c>
      <c r="I215" s="18" t="n">
        <f aca="false">C215*(1+IF(A215&gt;=Inputs!$D$5,Inputs!$D$4,0))*(1+Inputs!$D$2*MAX(E215,F215*Inputs!$D$3))</f>
        <v>362.16</v>
      </c>
    </row>
    <row r="216" customFormat="false" ht="15" hidden="false" customHeight="false" outlineLevel="0" collapsed="false">
      <c r="A216" s="16" t="n">
        <v>45688</v>
      </c>
      <c r="B216" s="8" t="str">
        <f aca="false">TEXT(A216,"yyyy-mm")</f>
        <v>2025-01</v>
      </c>
      <c r="C216" s="17" t="n">
        <v>402.4</v>
      </c>
      <c r="D216" s="8"/>
      <c r="E216" s="8" t="n">
        <v>0</v>
      </c>
      <c r="F216" s="8" t="n">
        <v>0</v>
      </c>
      <c r="G216" s="18" t="n">
        <f aca="false">C216*(1+IF(A216&gt;=Inputs!$B$5,Inputs!$B$4,0))*(1+Inputs!$B$2*MAX(E216,F216*Inputs!$B$3))</f>
        <v>402.4</v>
      </c>
      <c r="H216" s="18" t="n">
        <f aca="false">C216*(1+IF(A216&gt;=Inputs!$C$5,Inputs!$C$4,0))*(1+Inputs!$C$2*MAX(E216,F216*Inputs!$C$3))</f>
        <v>402.4</v>
      </c>
      <c r="I216" s="18" t="n">
        <f aca="false">C216*(1+IF(A216&gt;=Inputs!$D$5,Inputs!$D$4,0))*(1+Inputs!$D$2*MAX(E216,F216*Inputs!$D$3))</f>
        <v>362.16</v>
      </c>
    </row>
    <row r="217" customFormat="false" ht="15" hidden="false" customHeight="false" outlineLevel="0" collapsed="false">
      <c r="A217" s="16" t="n">
        <v>45689</v>
      </c>
      <c r="B217" s="8" t="str">
        <f aca="false">TEXT(A217,"yyyy-mm")</f>
        <v>2025-02</v>
      </c>
      <c r="C217" s="17" t="n">
        <v>402.4</v>
      </c>
      <c r="D217" s="8"/>
      <c r="E217" s="8" t="n">
        <v>0</v>
      </c>
      <c r="F217" s="8" t="n">
        <v>0</v>
      </c>
      <c r="G217" s="18" t="n">
        <f aca="false">C217*(1+IF(A217&gt;=Inputs!$B$5,Inputs!$B$4,0))*(1+Inputs!$B$2*MAX(E217,F217*Inputs!$B$3))</f>
        <v>402.4</v>
      </c>
      <c r="H217" s="18" t="n">
        <f aca="false">C217*(1+IF(A217&gt;=Inputs!$C$5,Inputs!$C$4,0))*(1+Inputs!$C$2*MAX(E217,F217*Inputs!$C$3))</f>
        <v>402.4</v>
      </c>
      <c r="I217" s="18" t="n">
        <f aca="false">C217*(1+IF(A217&gt;=Inputs!$D$5,Inputs!$D$4,0))*(1+Inputs!$D$2*MAX(E217,F217*Inputs!$D$3))</f>
        <v>362.16</v>
      </c>
    </row>
    <row r="218" customFormat="false" ht="15" hidden="false" customHeight="false" outlineLevel="0" collapsed="false">
      <c r="A218" s="16" t="n">
        <v>45690</v>
      </c>
      <c r="B218" s="8" t="str">
        <f aca="false">TEXT(A218,"yyyy-mm")</f>
        <v>2025-02</v>
      </c>
      <c r="C218" s="17" t="n">
        <v>402.4</v>
      </c>
      <c r="D218" s="8"/>
      <c r="E218" s="8" t="n">
        <v>0</v>
      </c>
      <c r="F218" s="8" t="n">
        <v>0</v>
      </c>
      <c r="G218" s="18" t="n">
        <f aca="false">C218*(1+IF(A218&gt;=Inputs!$B$5,Inputs!$B$4,0))*(1+Inputs!$B$2*MAX(E218,F218*Inputs!$B$3))</f>
        <v>402.4</v>
      </c>
      <c r="H218" s="18" t="n">
        <f aca="false">C218*(1+IF(A218&gt;=Inputs!$C$5,Inputs!$C$4,0))*(1+Inputs!$C$2*MAX(E218,F218*Inputs!$C$3))</f>
        <v>402.4</v>
      </c>
      <c r="I218" s="18" t="n">
        <f aca="false">C218*(1+IF(A218&gt;=Inputs!$D$5,Inputs!$D$4,0))*(1+Inputs!$D$2*MAX(E218,F218*Inputs!$D$3))</f>
        <v>362.16</v>
      </c>
    </row>
    <row r="219" customFormat="false" ht="15" hidden="false" customHeight="false" outlineLevel="0" collapsed="false">
      <c r="A219" s="16" t="n">
        <v>45691</v>
      </c>
      <c r="B219" s="8" t="str">
        <f aca="false">TEXT(A219,"yyyy-mm")</f>
        <v>2025-02</v>
      </c>
      <c r="C219" s="17" t="n">
        <v>402.4</v>
      </c>
      <c r="D219" s="8"/>
      <c r="E219" s="8" t="n">
        <v>0</v>
      </c>
      <c r="F219" s="8" t="n">
        <v>0</v>
      </c>
      <c r="G219" s="18" t="n">
        <f aca="false">C219*(1+IF(A219&gt;=Inputs!$B$5,Inputs!$B$4,0))*(1+Inputs!$B$2*MAX(E219,F219*Inputs!$B$3))</f>
        <v>402.4</v>
      </c>
      <c r="H219" s="18" t="n">
        <f aca="false">C219*(1+IF(A219&gt;=Inputs!$C$5,Inputs!$C$4,0))*(1+Inputs!$C$2*MAX(E219,F219*Inputs!$C$3))</f>
        <v>402.4</v>
      </c>
      <c r="I219" s="18" t="n">
        <f aca="false">C219*(1+IF(A219&gt;=Inputs!$D$5,Inputs!$D$4,0))*(1+Inputs!$D$2*MAX(E219,F219*Inputs!$D$3))</f>
        <v>362.16</v>
      </c>
    </row>
    <row r="220" customFormat="false" ht="15" hidden="false" customHeight="false" outlineLevel="0" collapsed="false">
      <c r="A220" s="16" t="n">
        <v>45692</v>
      </c>
      <c r="B220" s="8" t="str">
        <f aca="false">TEXT(A220,"yyyy-mm")</f>
        <v>2025-02</v>
      </c>
      <c r="C220" s="17" t="n">
        <v>402.4</v>
      </c>
      <c r="D220" s="8"/>
      <c r="E220" s="8" t="n">
        <v>0</v>
      </c>
      <c r="F220" s="8" t="n">
        <v>0</v>
      </c>
      <c r="G220" s="18" t="n">
        <f aca="false">C220*(1+IF(A220&gt;=Inputs!$B$5,Inputs!$B$4,0))*(1+Inputs!$B$2*MAX(E220,F220*Inputs!$B$3))</f>
        <v>402.4</v>
      </c>
      <c r="H220" s="18" t="n">
        <f aca="false">C220*(1+IF(A220&gt;=Inputs!$C$5,Inputs!$C$4,0))*(1+Inputs!$C$2*MAX(E220,F220*Inputs!$C$3))</f>
        <v>402.4</v>
      </c>
      <c r="I220" s="18" t="n">
        <f aca="false">C220*(1+IF(A220&gt;=Inputs!$D$5,Inputs!$D$4,0))*(1+Inputs!$D$2*MAX(E220,F220*Inputs!$D$3))</f>
        <v>362.16</v>
      </c>
    </row>
    <row r="221" customFormat="false" ht="15" hidden="false" customHeight="false" outlineLevel="0" collapsed="false">
      <c r="A221" s="16" t="n">
        <v>45693</v>
      </c>
      <c r="B221" s="8" t="str">
        <f aca="false">TEXT(A221,"yyyy-mm")</f>
        <v>2025-02</v>
      </c>
      <c r="C221" s="17" t="n">
        <v>402.4</v>
      </c>
      <c r="D221" s="8"/>
      <c r="E221" s="8" t="n">
        <v>0</v>
      </c>
      <c r="F221" s="8" t="n">
        <v>0</v>
      </c>
      <c r="G221" s="18" t="n">
        <f aca="false">C221*(1+IF(A221&gt;=Inputs!$B$5,Inputs!$B$4,0))*(1+Inputs!$B$2*MAX(E221,F221*Inputs!$B$3))</f>
        <v>402.4</v>
      </c>
      <c r="H221" s="18" t="n">
        <f aca="false">C221*(1+IF(A221&gt;=Inputs!$C$5,Inputs!$C$4,0))*(1+Inputs!$C$2*MAX(E221,F221*Inputs!$C$3))</f>
        <v>402.4</v>
      </c>
      <c r="I221" s="18" t="n">
        <f aca="false">C221*(1+IF(A221&gt;=Inputs!$D$5,Inputs!$D$4,0))*(1+Inputs!$D$2*MAX(E221,F221*Inputs!$D$3))</f>
        <v>362.16</v>
      </c>
    </row>
    <row r="222" customFormat="false" ht="15" hidden="false" customHeight="false" outlineLevel="0" collapsed="false">
      <c r="A222" s="16" t="n">
        <v>45694</v>
      </c>
      <c r="B222" s="8" t="str">
        <f aca="false">TEXT(A222,"yyyy-mm")</f>
        <v>2025-02</v>
      </c>
      <c r="C222" s="17" t="n">
        <v>402.4</v>
      </c>
      <c r="D222" s="8"/>
      <c r="E222" s="8" t="n">
        <v>0</v>
      </c>
      <c r="F222" s="8" t="n">
        <v>0</v>
      </c>
      <c r="G222" s="18" t="n">
        <f aca="false">C222*(1+IF(A222&gt;=Inputs!$B$5,Inputs!$B$4,0))*(1+Inputs!$B$2*MAX(E222,F222*Inputs!$B$3))</f>
        <v>402.4</v>
      </c>
      <c r="H222" s="18" t="n">
        <f aca="false">C222*(1+IF(A222&gt;=Inputs!$C$5,Inputs!$C$4,0))*(1+Inputs!$C$2*MAX(E222,F222*Inputs!$C$3))</f>
        <v>402.4</v>
      </c>
      <c r="I222" s="18" t="n">
        <f aca="false">C222*(1+IF(A222&gt;=Inputs!$D$5,Inputs!$D$4,0))*(1+Inputs!$D$2*MAX(E222,F222*Inputs!$D$3))</f>
        <v>362.16</v>
      </c>
    </row>
    <row r="223" customFormat="false" ht="15" hidden="false" customHeight="false" outlineLevel="0" collapsed="false">
      <c r="A223" s="16" t="n">
        <v>45695</v>
      </c>
      <c r="B223" s="8" t="str">
        <f aca="false">TEXT(A223,"yyyy-mm")</f>
        <v>2025-02</v>
      </c>
      <c r="C223" s="17" t="n">
        <v>402.4</v>
      </c>
      <c r="D223" s="8"/>
      <c r="E223" s="8" t="n">
        <v>0</v>
      </c>
      <c r="F223" s="8" t="n">
        <v>1</v>
      </c>
      <c r="G223" s="18" t="n">
        <f aca="false">C223*(1+IF(A223&gt;=Inputs!$B$5,Inputs!$B$4,0))*(1+Inputs!$B$2*MAX(E223,F223*Inputs!$B$3))</f>
        <v>402.4</v>
      </c>
      <c r="H223" s="18" t="n">
        <f aca="false">C223*(1+IF(A223&gt;=Inputs!$C$5,Inputs!$C$4,0))*(1+Inputs!$C$2*MAX(E223,F223*Inputs!$C$3))</f>
        <v>603.6</v>
      </c>
      <c r="I223" s="18" t="n">
        <f aca="false">C223*(1+IF(A223&gt;=Inputs!$D$5,Inputs!$D$4,0))*(1+Inputs!$D$2*MAX(E223,F223*Inputs!$D$3))</f>
        <v>362.16</v>
      </c>
    </row>
    <row r="224" customFormat="false" ht="15" hidden="false" customHeight="false" outlineLevel="0" collapsed="false">
      <c r="A224" s="16" t="n">
        <v>45696</v>
      </c>
      <c r="B224" s="8" t="str">
        <f aca="false">TEXT(A224,"yyyy-mm")</f>
        <v>2025-02</v>
      </c>
      <c r="C224" s="17" t="n">
        <v>402.4</v>
      </c>
      <c r="D224" s="8"/>
      <c r="E224" s="8" t="n">
        <v>0</v>
      </c>
      <c r="F224" s="8" t="n">
        <v>1</v>
      </c>
      <c r="G224" s="18" t="n">
        <f aca="false">C224*(1+IF(A224&gt;=Inputs!$B$5,Inputs!$B$4,0))*(1+Inputs!$B$2*MAX(E224,F224*Inputs!$B$3))</f>
        <v>402.4</v>
      </c>
      <c r="H224" s="18" t="n">
        <f aca="false">C224*(1+IF(A224&gt;=Inputs!$C$5,Inputs!$C$4,0))*(1+Inputs!$C$2*MAX(E224,F224*Inputs!$C$3))</f>
        <v>603.6</v>
      </c>
      <c r="I224" s="18" t="n">
        <f aca="false">C224*(1+IF(A224&gt;=Inputs!$D$5,Inputs!$D$4,0))*(1+Inputs!$D$2*MAX(E224,F224*Inputs!$D$3))</f>
        <v>362.16</v>
      </c>
    </row>
    <row r="225" customFormat="false" ht="15" hidden="false" customHeight="false" outlineLevel="0" collapsed="false">
      <c r="A225" s="16" t="n">
        <v>45697</v>
      </c>
      <c r="B225" s="8" t="str">
        <f aca="false">TEXT(A225,"yyyy-mm")</f>
        <v>2025-02</v>
      </c>
      <c r="C225" s="17" t="n">
        <v>402.4</v>
      </c>
      <c r="D225" s="8"/>
      <c r="E225" s="8" t="n">
        <v>0</v>
      </c>
      <c r="F225" s="8" t="n">
        <v>0</v>
      </c>
      <c r="G225" s="18" t="n">
        <f aca="false">C225*(1+IF(A225&gt;=Inputs!$B$5,Inputs!$B$4,0))*(1+Inputs!$B$2*MAX(E225,F225*Inputs!$B$3))</f>
        <v>402.4</v>
      </c>
      <c r="H225" s="18" t="n">
        <f aca="false">C225*(1+IF(A225&gt;=Inputs!$C$5,Inputs!$C$4,0))*(1+Inputs!$C$2*MAX(E225,F225*Inputs!$C$3))</f>
        <v>402.4</v>
      </c>
      <c r="I225" s="18" t="n">
        <f aca="false">C225*(1+IF(A225&gt;=Inputs!$D$5,Inputs!$D$4,0))*(1+Inputs!$D$2*MAX(E225,F225*Inputs!$D$3))</f>
        <v>362.16</v>
      </c>
    </row>
    <row r="226" customFormat="false" ht="15" hidden="false" customHeight="false" outlineLevel="0" collapsed="false">
      <c r="A226" s="16" t="n">
        <v>45698</v>
      </c>
      <c r="B226" s="8" t="str">
        <f aca="false">TEXT(A226,"yyyy-mm")</f>
        <v>2025-02</v>
      </c>
      <c r="C226" s="17" t="n">
        <v>402.4</v>
      </c>
      <c r="D226" s="8"/>
      <c r="E226" s="8" t="n">
        <v>0</v>
      </c>
      <c r="F226" s="8" t="n">
        <v>0</v>
      </c>
      <c r="G226" s="18" t="n">
        <f aca="false">C226*(1+IF(A226&gt;=Inputs!$B$5,Inputs!$B$4,0))*(1+Inputs!$B$2*MAX(E226,F226*Inputs!$B$3))</f>
        <v>402.4</v>
      </c>
      <c r="H226" s="18" t="n">
        <f aca="false">C226*(1+IF(A226&gt;=Inputs!$C$5,Inputs!$C$4,0))*(1+Inputs!$C$2*MAX(E226,F226*Inputs!$C$3))</f>
        <v>402.4</v>
      </c>
      <c r="I226" s="18" t="n">
        <f aca="false">C226*(1+IF(A226&gt;=Inputs!$D$5,Inputs!$D$4,0))*(1+Inputs!$D$2*MAX(E226,F226*Inputs!$D$3))</f>
        <v>362.16</v>
      </c>
    </row>
    <row r="227" customFormat="false" ht="15" hidden="false" customHeight="false" outlineLevel="0" collapsed="false">
      <c r="A227" s="16" t="n">
        <v>45699</v>
      </c>
      <c r="B227" s="8" t="str">
        <f aca="false">TEXT(A227,"yyyy-mm")</f>
        <v>2025-02</v>
      </c>
      <c r="C227" s="17" t="n">
        <v>402.4</v>
      </c>
      <c r="D227" s="8"/>
      <c r="E227" s="8" t="n">
        <v>0</v>
      </c>
      <c r="F227" s="8" t="n">
        <v>0</v>
      </c>
      <c r="G227" s="18" t="n">
        <f aca="false">C227*(1+IF(A227&gt;=Inputs!$B$5,Inputs!$B$4,0))*(1+Inputs!$B$2*MAX(E227,F227*Inputs!$B$3))</f>
        <v>402.4</v>
      </c>
      <c r="H227" s="18" t="n">
        <f aca="false">C227*(1+IF(A227&gt;=Inputs!$C$5,Inputs!$C$4,0))*(1+Inputs!$C$2*MAX(E227,F227*Inputs!$C$3))</f>
        <v>402.4</v>
      </c>
      <c r="I227" s="18" t="n">
        <f aca="false">C227*(1+IF(A227&gt;=Inputs!$D$5,Inputs!$D$4,0))*(1+Inputs!$D$2*MAX(E227,F227*Inputs!$D$3))</f>
        <v>362.16</v>
      </c>
    </row>
    <row r="228" customFormat="false" ht="15" hidden="false" customHeight="false" outlineLevel="0" collapsed="false">
      <c r="A228" s="16" t="n">
        <v>45700</v>
      </c>
      <c r="B228" s="8" t="str">
        <f aca="false">TEXT(A228,"yyyy-mm")</f>
        <v>2025-02</v>
      </c>
      <c r="C228" s="17" t="n">
        <v>402.4</v>
      </c>
      <c r="D228" s="8"/>
      <c r="E228" s="8" t="n">
        <v>0</v>
      </c>
      <c r="F228" s="8" t="n">
        <v>0</v>
      </c>
      <c r="G228" s="18" t="n">
        <f aca="false">C228*(1+IF(A228&gt;=Inputs!$B$5,Inputs!$B$4,0))*(1+Inputs!$B$2*MAX(E228,F228*Inputs!$B$3))</f>
        <v>402.4</v>
      </c>
      <c r="H228" s="18" t="n">
        <f aca="false">C228*(1+IF(A228&gt;=Inputs!$C$5,Inputs!$C$4,0))*(1+Inputs!$C$2*MAX(E228,F228*Inputs!$C$3))</f>
        <v>402.4</v>
      </c>
      <c r="I228" s="18" t="n">
        <f aca="false">C228*(1+IF(A228&gt;=Inputs!$D$5,Inputs!$D$4,0))*(1+Inputs!$D$2*MAX(E228,F228*Inputs!$D$3))</f>
        <v>362.16</v>
      </c>
    </row>
    <row r="229" customFormat="false" ht="15" hidden="false" customHeight="false" outlineLevel="0" collapsed="false">
      <c r="A229" s="16" t="n">
        <v>45701</v>
      </c>
      <c r="B229" s="8" t="str">
        <f aca="false">TEXT(A229,"yyyy-mm")</f>
        <v>2025-02</v>
      </c>
      <c r="C229" s="17" t="n">
        <v>402.4</v>
      </c>
      <c r="D229" s="8"/>
      <c r="E229" s="8" t="n">
        <v>0</v>
      </c>
      <c r="F229" s="8" t="n">
        <v>0</v>
      </c>
      <c r="G229" s="18" t="n">
        <f aca="false">C229*(1+IF(A229&gt;=Inputs!$B$5,Inputs!$B$4,0))*(1+Inputs!$B$2*MAX(E229,F229*Inputs!$B$3))</f>
        <v>402.4</v>
      </c>
      <c r="H229" s="18" t="n">
        <f aca="false">C229*(1+IF(A229&gt;=Inputs!$C$5,Inputs!$C$4,0))*(1+Inputs!$C$2*MAX(E229,F229*Inputs!$C$3))</f>
        <v>402.4</v>
      </c>
      <c r="I229" s="18" t="n">
        <f aca="false">C229*(1+IF(A229&gt;=Inputs!$D$5,Inputs!$D$4,0))*(1+Inputs!$D$2*MAX(E229,F229*Inputs!$D$3))</f>
        <v>362.16</v>
      </c>
    </row>
    <row r="230" customFormat="false" ht="15" hidden="false" customHeight="false" outlineLevel="0" collapsed="false">
      <c r="A230" s="16" t="n">
        <v>45702</v>
      </c>
      <c r="B230" s="8" t="str">
        <f aca="false">TEXT(A230,"yyyy-mm")</f>
        <v>2025-02</v>
      </c>
      <c r="C230" s="17" t="n">
        <v>402.4</v>
      </c>
      <c r="D230" s="8"/>
      <c r="E230" s="8" t="n">
        <v>0</v>
      </c>
      <c r="F230" s="8" t="n">
        <v>0</v>
      </c>
      <c r="G230" s="18" t="n">
        <f aca="false">C230*(1+IF(A230&gt;=Inputs!$B$5,Inputs!$B$4,0))*(1+Inputs!$B$2*MAX(E230,F230*Inputs!$B$3))</f>
        <v>402.4</v>
      </c>
      <c r="H230" s="18" t="n">
        <f aca="false">C230*(1+IF(A230&gt;=Inputs!$C$5,Inputs!$C$4,0))*(1+Inputs!$C$2*MAX(E230,F230*Inputs!$C$3))</f>
        <v>402.4</v>
      </c>
      <c r="I230" s="18" t="n">
        <f aca="false">C230*(1+IF(A230&gt;=Inputs!$D$5,Inputs!$D$4,0))*(1+Inputs!$D$2*MAX(E230,F230*Inputs!$D$3))</f>
        <v>362.16</v>
      </c>
    </row>
    <row r="231" customFormat="false" ht="15" hidden="false" customHeight="false" outlineLevel="0" collapsed="false">
      <c r="A231" s="16" t="n">
        <v>45703</v>
      </c>
      <c r="B231" s="8" t="str">
        <f aca="false">TEXT(A231,"yyyy-mm")</f>
        <v>2025-02</v>
      </c>
      <c r="C231" s="17" t="n">
        <v>402.4</v>
      </c>
      <c r="D231" s="8"/>
      <c r="E231" s="8" t="n">
        <v>0</v>
      </c>
      <c r="F231" s="8" t="n">
        <v>0</v>
      </c>
      <c r="G231" s="18" t="n">
        <f aca="false">C231*(1+IF(A231&gt;=Inputs!$B$5,Inputs!$B$4,0))*(1+Inputs!$B$2*MAX(E231,F231*Inputs!$B$3))</f>
        <v>402.4</v>
      </c>
      <c r="H231" s="18" t="n">
        <f aca="false">C231*(1+IF(A231&gt;=Inputs!$C$5,Inputs!$C$4,0))*(1+Inputs!$C$2*MAX(E231,F231*Inputs!$C$3))</f>
        <v>402.4</v>
      </c>
      <c r="I231" s="18" t="n">
        <f aca="false">C231*(1+IF(A231&gt;=Inputs!$D$5,Inputs!$D$4,0))*(1+Inputs!$D$2*MAX(E231,F231*Inputs!$D$3))</f>
        <v>362.16</v>
      </c>
    </row>
    <row r="232" customFormat="false" ht="15" hidden="false" customHeight="false" outlineLevel="0" collapsed="false">
      <c r="A232" s="16" t="n">
        <v>45704</v>
      </c>
      <c r="B232" s="8" t="str">
        <f aca="false">TEXT(A232,"yyyy-mm")</f>
        <v>2025-02</v>
      </c>
      <c r="C232" s="17" t="n">
        <v>402.4</v>
      </c>
      <c r="D232" s="8"/>
      <c r="E232" s="8" t="n">
        <v>0</v>
      </c>
      <c r="F232" s="8" t="n">
        <v>0</v>
      </c>
      <c r="G232" s="18" t="n">
        <f aca="false">C232*(1+IF(A232&gt;=Inputs!$B$5,Inputs!$B$4,0))*(1+Inputs!$B$2*MAX(E232,F232*Inputs!$B$3))</f>
        <v>402.4</v>
      </c>
      <c r="H232" s="18" t="n">
        <f aca="false">C232*(1+IF(A232&gt;=Inputs!$C$5,Inputs!$C$4,0))*(1+Inputs!$C$2*MAX(E232,F232*Inputs!$C$3))</f>
        <v>402.4</v>
      </c>
      <c r="I232" s="18" t="n">
        <f aca="false">C232*(1+IF(A232&gt;=Inputs!$D$5,Inputs!$D$4,0))*(1+Inputs!$D$2*MAX(E232,F232*Inputs!$D$3))</f>
        <v>362.16</v>
      </c>
    </row>
    <row r="233" customFormat="false" ht="15" hidden="false" customHeight="false" outlineLevel="0" collapsed="false">
      <c r="A233" s="16" t="n">
        <v>45705</v>
      </c>
      <c r="B233" s="8" t="str">
        <f aca="false">TEXT(A233,"yyyy-mm")</f>
        <v>2025-02</v>
      </c>
      <c r="C233" s="17" t="n">
        <v>402.4</v>
      </c>
      <c r="D233" s="8"/>
      <c r="E233" s="8" t="n">
        <v>0</v>
      </c>
      <c r="F233" s="8" t="n">
        <v>0</v>
      </c>
      <c r="G233" s="18" t="n">
        <f aca="false">C233*(1+IF(A233&gt;=Inputs!$B$5,Inputs!$B$4,0))*(1+Inputs!$B$2*MAX(E233,F233*Inputs!$B$3))</f>
        <v>402.4</v>
      </c>
      <c r="H233" s="18" t="n">
        <f aca="false">C233*(1+IF(A233&gt;=Inputs!$C$5,Inputs!$C$4,0))*(1+Inputs!$C$2*MAX(E233,F233*Inputs!$C$3))</f>
        <v>402.4</v>
      </c>
      <c r="I233" s="18" t="n">
        <f aca="false">C233*(1+IF(A233&gt;=Inputs!$D$5,Inputs!$D$4,0))*(1+Inputs!$D$2*MAX(E233,F233*Inputs!$D$3))</f>
        <v>362.16</v>
      </c>
    </row>
    <row r="234" customFormat="false" ht="15" hidden="false" customHeight="false" outlineLevel="0" collapsed="false">
      <c r="A234" s="16" t="n">
        <v>45706</v>
      </c>
      <c r="B234" s="8" t="str">
        <f aca="false">TEXT(A234,"yyyy-mm")</f>
        <v>2025-02</v>
      </c>
      <c r="C234" s="17" t="n">
        <v>402.4</v>
      </c>
      <c r="D234" s="8"/>
      <c r="E234" s="8" t="n">
        <v>0</v>
      </c>
      <c r="F234" s="8" t="n">
        <v>0</v>
      </c>
      <c r="G234" s="18" t="n">
        <f aca="false">C234*(1+IF(A234&gt;=Inputs!$B$5,Inputs!$B$4,0))*(1+Inputs!$B$2*MAX(E234,F234*Inputs!$B$3))</f>
        <v>402.4</v>
      </c>
      <c r="H234" s="18" t="n">
        <f aca="false">C234*(1+IF(A234&gt;=Inputs!$C$5,Inputs!$C$4,0))*(1+Inputs!$C$2*MAX(E234,F234*Inputs!$C$3))</f>
        <v>402.4</v>
      </c>
      <c r="I234" s="18" t="n">
        <f aca="false">C234*(1+IF(A234&gt;=Inputs!$D$5,Inputs!$D$4,0))*(1+Inputs!$D$2*MAX(E234,F234*Inputs!$D$3))</f>
        <v>362.16</v>
      </c>
    </row>
    <row r="235" customFormat="false" ht="15" hidden="false" customHeight="false" outlineLevel="0" collapsed="false">
      <c r="A235" s="16" t="n">
        <v>45707</v>
      </c>
      <c r="B235" s="8" t="str">
        <f aca="false">TEXT(A235,"yyyy-mm")</f>
        <v>2025-02</v>
      </c>
      <c r="C235" s="17" t="n">
        <v>402.4</v>
      </c>
      <c r="D235" s="8"/>
      <c r="E235" s="8" t="n">
        <v>0</v>
      </c>
      <c r="F235" s="8" t="n">
        <v>0</v>
      </c>
      <c r="G235" s="18" t="n">
        <f aca="false">C235*(1+IF(A235&gt;=Inputs!$B$5,Inputs!$B$4,0))*(1+Inputs!$B$2*MAX(E235,F235*Inputs!$B$3))</f>
        <v>402.4</v>
      </c>
      <c r="H235" s="18" t="n">
        <f aca="false">C235*(1+IF(A235&gt;=Inputs!$C$5,Inputs!$C$4,0))*(1+Inputs!$C$2*MAX(E235,F235*Inputs!$C$3))</f>
        <v>402.4</v>
      </c>
      <c r="I235" s="18" t="n">
        <f aca="false">C235*(1+IF(A235&gt;=Inputs!$D$5,Inputs!$D$4,0))*(1+Inputs!$D$2*MAX(E235,F235*Inputs!$D$3))</f>
        <v>362.16</v>
      </c>
    </row>
    <row r="236" customFormat="false" ht="15" hidden="false" customHeight="false" outlineLevel="0" collapsed="false">
      <c r="A236" s="16" t="n">
        <v>45708</v>
      </c>
      <c r="B236" s="8" t="str">
        <f aca="false">TEXT(A236,"yyyy-mm")</f>
        <v>2025-02</v>
      </c>
      <c r="C236" s="17" t="n">
        <v>402.4</v>
      </c>
      <c r="D236" s="8"/>
      <c r="E236" s="8" t="n">
        <v>0</v>
      </c>
      <c r="F236" s="8" t="n">
        <v>0</v>
      </c>
      <c r="G236" s="18" t="n">
        <f aca="false">C236*(1+IF(A236&gt;=Inputs!$B$5,Inputs!$B$4,0))*(1+Inputs!$B$2*MAX(E236,F236*Inputs!$B$3))</f>
        <v>402.4</v>
      </c>
      <c r="H236" s="18" t="n">
        <f aca="false">C236*(1+IF(A236&gt;=Inputs!$C$5,Inputs!$C$4,0))*(1+Inputs!$C$2*MAX(E236,F236*Inputs!$C$3))</f>
        <v>402.4</v>
      </c>
      <c r="I236" s="18" t="n">
        <f aca="false">C236*(1+IF(A236&gt;=Inputs!$D$5,Inputs!$D$4,0))*(1+Inputs!$D$2*MAX(E236,F236*Inputs!$D$3))</f>
        <v>362.16</v>
      </c>
    </row>
    <row r="237" customFormat="false" ht="15" hidden="false" customHeight="false" outlineLevel="0" collapsed="false">
      <c r="A237" s="16" t="n">
        <v>45709</v>
      </c>
      <c r="B237" s="8" t="str">
        <f aca="false">TEXT(A237,"yyyy-mm")</f>
        <v>2025-02</v>
      </c>
      <c r="C237" s="17" t="n">
        <v>402.4</v>
      </c>
      <c r="D237" s="8"/>
      <c r="E237" s="8" t="n">
        <v>0</v>
      </c>
      <c r="F237" s="8" t="n">
        <v>0</v>
      </c>
      <c r="G237" s="18" t="n">
        <f aca="false">C237*(1+IF(A237&gt;=Inputs!$B$5,Inputs!$B$4,0))*(1+Inputs!$B$2*MAX(E237,F237*Inputs!$B$3))</f>
        <v>402.4</v>
      </c>
      <c r="H237" s="18" t="n">
        <f aca="false">C237*(1+IF(A237&gt;=Inputs!$C$5,Inputs!$C$4,0))*(1+Inputs!$C$2*MAX(E237,F237*Inputs!$C$3))</f>
        <v>402.4</v>
      </c>
      <c r="I237" s="18" t="n">
        <f aca="false">C237*(1+IF(A237&gt;=Inputs!$D$5,Inputs!$D$4,0))*(1+Inputs!$D$2*MAX(E237,F237*Inputs!$D$3))</f>
        <v>362.16</v>
      </c>
    </row>
    <row r="238" customFormat="false" ht="15" hidden="false" customHeight="false" outlineLevel="0" collapsed="false">
      <c r="A238" s="16" t="n">
        <v>45710</v>
      </c>
      <c r="B238" s="8" t="str">
        <f aca="false">TEXT(A238,"yyyy-mm")</f>
        <v>2025-02</v>
      </c>
      <c r="C238" s="17" t="n">
        <v>402.4</v>
      </c>
      <c r="D238" s="8"/>
      <c r="E238" s="8" t="n">
        <v>0</v>
      </c>
      <c r="F238" s="8" t="n">
        <v>0</v>
      </c>
      <c r="G238" s="18" t="n">
        <f aca="false">C238*(1+IF(A238&gt;=Inputs!$B$5,Inputs!$B$4,0))*(1+Inputs!$B$2*MAX(E238,F238*Inputs!$B$3))</f>
        <v>402.4</v>
      </c>
      <c r="H238" s="18" t="n">
        <f aca="false">C238*(1+IF(A238&gt;=Inputs!$C$5,Inputs!$C$4,0))*(1+Inputs!$C$2*MAX(E238,F238*Inputs!$C$3))</f>
        <v>402.4</v>
      </c>
      <c r="I238" s="18" t="n">
        <f aca="false">C238*(1+IF(A238&gt;=Inputs!$D$5,Inputs!$D$4,0))*(1+Inputs!$D$2*MAX(E238,F238*Inputs!$D$3))</f>
        <v>362.16</v>
      </c>
    </row>
    <row r="239" customFormat="false" ht="15" hidden="false" customHeight="false" outlineLevel="0" collapsed="false">
      <c r="A239" s="16" t="n">
        <v>45711</v>
      </c>
      <c r="B239" s="8" t="str">
        <f aca="false">TEXT(A239,"yyyy-mm")</f>
        <v>2025-02</v>
      </c>
      <c r="C239" s="17" t="n">
        <v>402.4</v>
      </c>
      <c r="D239" s="8"/>
      <c r="E239" s="8" t="n">
        <v>0</v>
      </c>
      <c r="F239" s="8" t="n">
        <v>0</v>
      </c>
      <c r="G239" s="18" t="n">
        <f aca="false">C239*(1+IF(A239&gt;=Inputs!$B$5,Inputs!$B$4,0))*(1+Inputs!$B$2*MAX(E239,F239*Inputs!$B$3))</f>
        <v>402.4</v>
      </c>
      <c r="H239" s="18" t="n">
        <f aca="false">C239*(1+IF(A239&gt;=Inputs!$C$5,Inputs!$C$4,0))*(1+Inputs!$C$2*MAX(E239,F239*Inputs!$C$3))</f>
        <v>402.4</v>
      </c>
      <c r="I239" s="18" t="n">
        <f aca="false">C239*(1+IF(A239&gt;=Inputs!$D$5,Inputs!$D$4,0))*(1+Inputs!$D$2*MAX(E239,F239*Inputs!$D$3))</f>
        <v>362.16</v>
      </c>
    </row>
    <row r="240" customFormat="false" ht="15" hidden="false" customHeight="false" outlineLevel="0" collapsed="false">
      <c r="A240" s="16" t="n">
        <v>45712</v>
      </c>
      <c r="B240" s="8" t="str">
        <f aca="false">TEXT(A240,"yyyy-mm")</f>
        <v>2025-02</v>
      </c>
      <c r="C240" s="17" t="n">
        <v>402.4</v>
      </c>
      <c r="D240" s="8"/>
      <c r="E240" s="8" t="n">
        <v>0</v>
      </c>
      <c r="F240" s="8" t="n">
        <v>0</v>
      </c>
      <c r="G240" s="18" t="n">
        <f aca="false">C240*(1+IF(A240&gt;=Inputs!$B$5,Inputs!$B$4,0))*(1+Inputs!$B$2*MAX(E240,F240*Inputs!$B$3))</f>
        <v>402.4</v>
      </c>
      <c r="H240" s="18" t="n">
        <f aca="false">C240*(1+IF(A240&gt;=Inputs!$C$5,Inputs!$C$4,0))*(1+Inputs!$C$2*MAX(E240,F240*Inputs!$C$3))</f>
        <v>402.4</v>
      </c>
      <c r="I240" s="18" t="n">
        <f aca="false">C240*(1+IF(A240&gt;=Inputs!$D$5,Inputs!$D$4,0))*(1+Inputs!$D$2*MAX(E240,F240*Inputs!$D$3))</f>
        <v>362.16</v>
      </c>
    </row>
    <row r="241" customFormat="false" ht="15" hidden="false" customHeight="false" outlineLevel="0" collapsed="false">
      <c r="A241" s="16" t="n">
        <v>45713</v>
      </c>
      <c r="B241" s="8" t="str">
        <f aca="false">TEXT(A241,"yyyy-mm")</f>
        <v>2025-02</v>
      </c>
      <c r="C241" s="17" t="n">
        <v>402.4</v>
      </c>
      <c r="D241" s="8"/>
      <c r="E241" s="8" t="n">
        <v>0</v>
      </c>
      <c r="F241" s="8" t="n">
        <v>0</v>
      </c>
      <c r="G241" s="18" t="n">
        <f aca="false">C241*(1+IF(A241&gt;=Inputs!$B$5,Inputs!$B$4,0))*(1+Inputs!$B$2*MAX(E241,F241*Inputs!$B$3))</f>
        <v>402.4</v>
      </c>
      <c r="H241" s="18" t="n">
        <f aca="false">C241*(1+IF(A241&gt;=Inputs!$C$5,Inputs!$C$4,0))*(1+Inputs!$C$2*MAX(E241,F241*Inputs!$C$3))</f>
        <v>402.4</v>
      </c>
      <c r="I241" s="18" t="n">
        <f aca="false">C241*(1+IF(A241&gt;=Inputs!$D$5,Inputs!$D$4,0))*(1+Inputs!$D$2*MAX(E241,F241*Inputs!$D$3))</f>
        <v>362.16</v>
      </c>
    </row>
    <row r="242" customFormat="false" ht="15" hidden="false" customHeight="false" outlineLevel="0" collapsed="false">
      <c r="A242" s="16" t="n">
        <v>45714</v>
      </c>
      <c r="B242" s="8" t="str">
        <f aca="false">TEXT(A242,"yyyy-mm")</f>
        <v>2025-02</v>
      </c>
      <c r="C242" s="17" t="n">
        <v>402.4</v>
      </c>
      <c r="D242" s="8"/>
      <c r="E242" s="8" t="n">
        <v>0</v>
      </c>
      <c r="F242" s="8" t="n">
        <v>0</v>
      </c>
      <c r="G242" s="18" t="n">
        <f aca="false">C242*(1+IF(A242&gt;=Inputs!$B$5,Inputs!$B$4,0))*(1+Inputs!$B$2*MAX(E242,F242*Inputs!$B$3))</f>
        <v>402.4</v>
      </c>
      <c r="H242" s="18" t="n">
        <f aca="false">C242*(1+IF(A242&gt;=Inputs!$C$5,Inputs!$C$4,0))*(1+Inputs!$C$2*MAX(E242,F242*Inputs!$C$3))</f>
        <v>402.4</v>
      </c>
      <c r="I242" s="18" t="n">
        <f aca="false">C242*(1+IF(A242&gt;=Inputs!$D$5,Inputs!$D$4,0))*(1+Inputs!$D$2*MAX(E242,F242*Inputs!$D$3))</f>
        <v>362.16</v>
      </c>
    </row>
    <row r="243" customFormat="false" ht="15" hidden="false" customHeight="false" outlineLevel="0" collapsed="false">
      <c r="A243" s="16" t="n">
        <v>45715</v>
      </c>
      <c r="B243" s="8" t="str">
        <f aca="false">TEXT(A243,"yyyy-mm")</f>
        <v>2025-02</v>
      </c>
      <c r="C243" s="17" t="n">
        <v>402.4</v>
      </c>
      <c r="D243" s="8"/>
      <c r="E243" s="8" t="n">
        <v>0</v>
      </c>
      <c r="F243" s="8" t="n">
        <v>0</v>
      </c>
      <c r="G243" s="18" t="n">
        <f aca="false">C243*(1+IF(A243&gt;=Inputs!$B$5,Inputs!$B$4,0))*(1+Inputs!$B$2*MAX(E243,F243*Inputs!$B$3))</f>
        <v>402.4</v>
      </c>
      <c r="H243" s="18" t="n">
        <f aca="false">C243*(1+IF(A243&gt;=Inputs!$C$5,Inputs!$C$4,0))*(1+Inputs!$C$2*MAX(E243,F243*Inputs!$C$3))</f>
        <v>402.4</v>
      </c>
      <c r="I243" s="18" t="n">
        <f aca="false">C243*(1+IF(A243&gt;=Inputs!$D$5,Inputs!$D$4,0))*(1+Inputs!$D$2*MAX(E243,F243*Inputs!$D$3))</f>
        <v>362.16</v>
      </c>
    </row>
    <row r="244" customFormat="false" ht="15" hidden="false" customHeight="false" outlineLevel="0" collapsed="false">
      <c r="A244" s="16" t="n">
        <v>45716</v>
      </c>
      <c r="B244" s="8" t="str">
        <f aca="false">TEXT(A244,"yyyy-mm")</f>
        <v>2025-02</v>
      </c>
      <c r="C244" s="17" t="n">
        <v>402.4</v>
      </c>
      <c r="D244" s="8"/>
      <c r="E244" s="8" t="n">
        <v>0</v>
      </c>
      <c r="F244" s="8" t="n">
        <v>0</v>
      </c>
      <c r="G244" s="18" t="n">
        <f aca="false">C244*(1+IF(A244&gt;=Inputs!$B$5,Inputs!$B$4,0))*(1+Inputs!$B$2*MAX(E244,F244*Inputs!$B$3))</f>
        <v>402.4</v>
      </c>
      <c r="H244" s="18" t="n">
        <f aca="false">C244*(1+IF(A244&gt;=Inputs!$C$5,Inputs!$C$4,0))*(1+Inputs!$C$2*MAX(E244,F244*Inputs!$C$3))</f>
        <v>402.4</v>
      </c>
      <c r="I244" s="18" t="n">
        <f aca="false">C244*(1+IF(A244&gt;=Inputs!$D$5,Inputs!$D$4,0))*(1+Inputs!$D$2*MAX(E244,F244*Inputs!$D$3))</f>
        <v>362.16</v>
      </c>
    </row>
    <row r="245" customFormat="false" ht="15" hidden="false" customHeight="false" outlineLevel="0" collapsed="false">
      <c r="A245" s="16" t="n">
        <v>45717</v>
      </c>
      <c r="B245" s="8" t="str">
        <f aca="false">TEXT(A245,"yyyy-mm")</f>
        <v>2025-03</v>
      </c>
      <c r="C245" s="17" t="n">
        <v>402.4</v>
      </c>
      <c r="D245" s="8"/>
      <c r="E245" s="8" t="n">
        <v>0</v>
      </c>
      <c r="F245" s="8" t="n">
        <v>0</v>
      </c>
      <c r="G245" s="18" t="n">
        <f aca="false">C245*(1+IF(A245&gt;=Inputs!$B$5,Inputs!$B$4,0))*(1+Inputs!$B$2*MAX(E245,F245*Inputs!$B$3))</f>
        <v>402.4</v>
      </c>
      <c r="H245" s="18" t="n">
        <f aca="false">C245*(1+IF(A245&gt;=Inputs!$C$5,Inputs!$C$4,0))*(1+Inputs!$C$2*MAX(E245,F245*Inputs!$C$3))</f>
        <v>402.4</v>
      </c>
      <c r="I245" s="18" t="n">
        <f aca="false">C245*(1+IF(A245&gt;=Inputs!$D$5,Inputs!$D$4,0))*(1+Inputs!$D$2*MAX(E245,F245*Inputs!$D$3))</f>
        <v>362.16</v>
      </c>
    </row>
    <row r="246" customFormat="false" ht="15" hidden="false" customHeight="false" outlineLevel="0" collapsed="false">
      <c r="A246" s="16" t="n">
        <v>45718</v>
      </c>
      <c r="B246" s="8" t="str">
        <f aca="false">TEXT(A246,"yyyy-mm")</f>
        <v>2025-03</v>
      </c>
      <c r="C246" s="17" t="n">
        <v>402.4</v>
      </c>
      <c r="D246" s="8"/>
      <c r="E246" s="8" t="n">
        <v>0</v>
      </c>
      <c r="F246" s="8" t="n">
        <v>0</v>
      </c>
      <c r="G246" s="18" t="n">
        <f aca="false">C246*(1+IF(A246&gt;=Inputs!$B$5,Inputs!$B$4,0))*(1+Inputs!$B$2*MAX(E246,F246*Inputs!$B$3))</f>
        <v>402.4</v>
      </c>
      <c r="H246" s="18" t="n">
        <f aca="false">C246*(1+IF(A246&gt;=Inputs!$C$5,Inputs!$C$4,0))*(1+Inputs!$C$2*MAX(E246,F246*Inputs!$C$3))</f>
        <v>402.4</v>
      </c>
      <c r="I246" s="18" t="n">
        <f aca="false">C246*(1+IF(A246&gt;=Inputs!$D$5,Inputs!$D$4,0))*(1+Inputs!$D$2*MAX(E246,F246*Inputs!$D$3))</f>
        <v>362.16</v>
      </c>
    </row>
    <row r="247" customFormat="false" ht="15" hidden="false" customHeight="false" outlineLevel="0" collapsed="false">
      <c r="A247" s="16" t="n">
        <v>45719</v>
      </c>
      <c r="B247" s="8" t="str">
        <f aca="false">TEXT(A247,"yyyy-mm")</f>
        <v>2025-03</v>
      </c>
      <c r="C247" s="17" t="n">
        <v>402.4</v>
      </c>
      <c r="D247" s="8"/>
      <c r="E247" s="8" t="n">
        <v>0</v>
      </c>
      <c r="F247" s="8" t="n">
        <v>0</v>
      </c>
      <c r="G247" s="18" t="n">
        <f aca="false">C247*(1+IF(A247&gt;=Inputs!$B$5,Inputs!$B$4,0))*(1+Inputs!$B$2*MAX(E247,F247*Inputs!$B$3))</f>
        <v>402.4</v>
      </c>
      <c r="H247" s="18" t="n">
        <f aca="false">C247*(1+IF(A247&gt;=Inputs!$C$5,Inputs!$C$4,0))*(1+Inputs!$C$2*MAX(E247,F247*Inputs!$C$3))</f>
        <v>402.4</v>
      </c>
      <c r="I247" s="18" t="n">
        <f aca="false">C247*(1+IF(A247&gt;=Inputs!$D$5,Inputs!$D$4,0))*(1+Inputs!$D$2*MAX(E247,F247*Inputs!$D$3))</f>
        <v>362.16</v>
      </c>
    </row>
    <row r="248" customFormat="false" ht="15" hidden="false" customHeight="false" outlineLevel="0" collapsed="false">
      <c r="A248" s="16" t="n">
        <v>45720</v>
      </c>
      <c r="B248" s="8" t="str">
        <f aca="false">TEXT(A248,"yyyy-mm")</f>
        <v>2025-03</v>
      </c>
      <c r="C248" s="17" t="n">
        <v>402.4</v>
      </c>
      <c r="D248" s="8"/>
      <c r="E248" s="8" t="n">
        <v>0</v>
      </c>
      <c r="F248" s="8" t="n">
        <v>0</v>
      </c>
      <c r="G248" s="18" t="n">
        <f aca="false">C248*(1+IF(A248&gt;=Inputs!$B$5,Inputs!$B$4,0))*(1+Inputs!$B$2*MAX(E248,F248*Inputs!$B$3))</f>
        <v>402.4</v>
      </c>
      <c r="H248" s="18" t="n">
        <f aca="false">C248*(1+IF(A248&gt;=Inputs!$C$5,Inputs!$C$4,0))*(1+Inputs!$C$2*MAX(E248,F248*Inputs!$C$3))</f>
        <v>402.4</v>
      </c>
      <c r="I248" s="18" t="n">
        <f aca="false">C248*(1+IF(A248&gt;=Inputs!$D$5,Inputs!$D$4,0))*(1+Inputs!$D$2*MAX(E248,F248*Inputs!$D$3))</f>
        <v>362.16</v>
      </c>
    </row>
    <row r="249" customFormat="false" ht="15" hidden="false" customHeight="false" outlineLevel="0" collapsed="false">
      <c r="A249" s="16" t="n">
        <v>45721</v>
      </c>
      <c r="B249" s="8" t="str">
        <f aca="false">TEXT(A249,"yyyy-mm")</f>
        <v>2025-03</v>
      </c>
      <c r="C249" s="17" t="n">
        <v>402.4</v>
      </c>
      <c r="D249" s="8"/>
      <c r="E249" s="8" t="n">
        <v>0</v>
      </c>
      <c r="F249" s="8" t="n">
        <v>0</v>
      </c>
      <c r="G249" s="18" t="n">
        <f aca="false">C249*(1+IF(A249&gt;=Inputs!$B$5,Inputs!$B$4,0))*(1+Inputs!$B$2*MAX(E249,F249*Inputs!$B$3))</f>
        <v>402.4</v>
      </c>
      <c r="H249" s="18" t="n">
        <f aca="false">C249*(1+IF(A249&gt;=Inputs!$C$5,Inputs!$C$4,0))*(1+Inputs!$C$2*MAX(E249,F249*Inputs!$C$3))</f>
        <v>402.4</v>
      </c>
      <c r="I249" s="18" t="n">
        <f aca="false">C249*(1+IF(A249&gt;=Inputs!$D$5,Inputs!$D$4,0))*(1+Inputs!$D$2*MAX(E249,F249*Inputs!$D$3))</f>
        <v>362.16</v>
      </c>
    </row>
    <row r="250" customFormat="false" ht="15" hidden="false" customHeight="false" outlineLevel="0" collapsed="false">
      <c r="A250" s="16" t="n">
        <v>45722</v>
      </c>
      <c r="B250" s="8" t="str">
        <f aca="false">TEXT(A250,"yyyy-mm")</f>
        <v>2025-03</v>
      </c>
      <c r="C250" s="17" t="n">
        <v>402.4</v>
      </c>
      <c r="D250" s="8"/>
      <c r="E250" s="8" t="n">
        <v>0</v>
      </c>
      <c r="F250" s="8" t="n">
        <v>0</v>
      </c>
      <c r="G250" s="18" t="n">
        <f aca="false">C250*(1+IF(A250&gt;=Inputs!$B$5,Inputs!$B$4,0))*(1+Inputs!$B$2*MAX(E250,F250*Inputs!$B$3))</f>
        <v>402.4</v>
      </c>
      <c r="H250" s="18" t="n">
        <f aca="false">C250*(1+IF(A250&gt;=Inputs!$C$5,Inputs!$C$4,0))*(1+Inputs!$C$2*MAX(E250,F250*Inputs!$C$3))</f>
        <v>402.4</v>
      </c>
      <c r="I250" s="18" t="n">
        <f aca="false">C250*(1+IF(A250&gt;=Inputs!$D$5,Inputs!$D$4,0))*(1+Inputs!$D$2*MAX(E250,F250*Inputs!$D$3))</f>
        <v>362.16</v>
      </c>
    </row>
    <row r="251" customFormat="false" ht="15" hidden="false" customHeight="false" outlineLevel="0" collapsed="false">
      <c r="A251" s="16" t="n">
        <v>45723</v>
      </c>
      <c r="B251" s="8" t="str">
        <f aca="false">TEXT(A251,"yyyy-mm")</f>
        <v>2025-03</v>
      </c>
      <c r="C251" s="17" t="n">
        <v>402.4</v>
      </c>
      <c r="D251" s="8"/>
      <c r="E251" s="8" t="n">
        <v>0</v>
      </c>
      <c r="F251" s="8" t="n">
        <v>1</v>
      </c>
      <c r="G251" s="18" t="n">
        <f aca="false">C251*(1+IF(A251&gt;=Inputs!$B$5,Inputs!$B$4,0))*(1+Inputs!$B$2*MAX(E251,F251*Inputs!$B$3))</f>
        <v>402.4</v>
      </c>
      <c r="H251" s="18" t="n">
        <f aca="false">C251*(1+IF(A251&gt;=Inputs!$C$5,Inputs!$C$4,0))*(1+Inputs!$C$2*MAX(E251,F251*Inputs!$C$3))</f>
        <v>603.6</v>
      </c>
      <c r="I251" s="18" t="n">
        <f aca="false">C251*(1+IF(A251&gt;=Inputs!$D$5,Inputs!$D$4,0))*(1+Inputs!$D$2*MAX(E251,F251*Inputs!$D$3))</f>
        <v>362.16</v>
      </c>
    </row>
    <row r="252" customFormat="false" ht="15" hidden="false" customHeight="false" outlineLevel="0" collapsed="false">
      <c r="A252" s="16" t="n">
        <v>45724</v>
      </c>
      <c r="B252" s="8" t="str">
        <f aca="false">TEXT(A252,"yyyy-mm")</f>
        <v>2025-03</v>
      </c>
      <c r="C252" s="17" t="n">
        <v>402.4</v>
      </c>
      <c r="D252" s="8"/>
      <c r="E252" s="8" t="n">
        <v>0</v>
      </c>
      <c r="F252" s="8" t="n">
        <v>1</v>
      </c>
      <c r="G252" s="18" t="n">
        <f aca="false">C252*(1+IF(A252&gt;=Inputs!$B$5,Inputs!$B$4,0))*(1+Inputs!$B$2*MAX(E252,F252*Inputs!$B$3))</f>
        <v>402.4</v>
      </c>
      <c r="H252" s="18" t="n">
        <f aca="false">C252*(1+IF(A252&gt;=Inputs!$C$5,Inputs!$C$4,0))*(1+Inputs!$C$2*MAX(E252,F252*Inputs!$C$3))</f>
        <v>603.6</v>
      </c>
      <c r="I252" s="18" t="n">
        <f aca="false">C252*(1+IF(A252&gt;=Inputs!$D$5,Inputs!$D$4,0))*(1+Inputs!$D$2*MAX(E252,F252*Inputs!$D$3))</f>
        <v>362.16</v>
      </c>
    </row>
    <row r="253" customFormat="false" ht="15" hidden="false" customHeight="false" outlineLevel="0" collapsed="false">
      <c r="A253" s="16" t="n">
        <v>45725</v>
      </c>
      <c r="B253" s="8" t="str">
        <f aca="false">TEXT(A253,"yyyy-mm")</f>
        <v>2025-03</v>
      </c>
      <c r="C253" s="17" t="n">
        <v>402.4</v>
      </c>
      <c r="D253" s="8"/>
      <c r="E253" s="8" t="n">
        <v>0</v>
      </c>
      <c r="F253" s="8" t="n">
        <v>0</v>
      </c>
      <c r="G253" s="18" t="n">
        <f aca="false">C253*(1+IF(A253&gt;=Inputs!$B$5,Inputs!$B$4,0))*(1+Inputs!$B$2*MAX(E253,F253*Inputs!$B$3))</f>
        <v>402.4</v>
      </c>
      <c r="H253" s="18" t="n">
        <f aca="false">C253*(1+IF(A253&gt;=Inputs!$C$5,Inputs!$C$4,0))*(1+Inputs!$C$2*MAX(E253,F253*Inputs!$C$3))</f>
        <v>402.4</v>
      </c>
      <c r="I253" s="18" t="n">
        <f aca="false">C253*(1+IF(A253&gt;=Inputs!$D$5,Inputs!$D$4,0))*(1+Inputs!$D$2*MAX(E253,F253*Inputs!$D$3))</f>
        <v>362.16</v>
      </c>
    </row>
    <row r="254" customFormat="false" ht="15" hidden="false" customHeight="false" outlineLevel="0" collapsed="false">
      <c r="A254" s="16" t="n">
        <v>45726</v>
      </c>
      <c r="B254" s="8" t="str">
        <f aca="false">TEXT(A254,"yyyy-mm")</f>
        <v>2025-03</v>
      </c>
      <c r="C254" s="17" t="n">
        <v>402.4</v>
      </c>
      <c r="D254" s="8"/>
      <c r="E254" s="8" t="n">
        <v>0</v>
      </c>
      <c r="F254" s="8" t="n">
        <v>0</v>
      </c>
      <c r="G254" s="18" t="n">
        <f aca="false">C254*(1+IF(A254&gt;=Inputs!$B$5,Inputs!$B$4,0))*(1+Inputs!$B$2*MAX(E254,F254*Inputs!$B$3))</f>
        <v>402.4</v>
      </c>
      <c r="H254" s="18" t="n">
        <f aca="false">C254*(1+IF(A254&gt;=Inputs!$C$5,Inputs!$C$4,0))*(1+Inputs!$C$2*MAX(E254,F254*Inputs!$C$3))</f>
        <v>402.4</v>
      </c>
      <c r="I254" s="18" t="n">
        <f aca="false">C254*(1+IF(A254&gt;=Inputs!$D$5,Inputs!$D$4,0))*(1+Inputs!$D$2*MAX(E254,F254*Inputs!$D$3))</f>
        <v>362.16</v>
      </c>
    </row>
    <row r="255" customFormat="false" ht="15" hidden="false" customHeight="false" outlineLevel="0" collapsed="false">
      <c r="A255" s="16" t="n">
        <v>45727</v>
      </c>
      <c r="B255" s="8" t="str">
        <f aca="false">TEXT(A255,"yyyy-mm")</f>
        <v>2025-03</v>
      </c>
      <c r="C255" s="17" t="n">
        <v>402.4</v>
      </c>
      <c r="D255" s="8"/>
      <c r="E255" s="8" t="n">
        <v>0</v>
      </c>
      <c r="F255" s="8" t="n">
        <v>0</v>
      </c>
      <c r="G255" s="18" t="n">
        <f aca="false">C255*(1+IF(A255&gt;=Inputs!$B$5,Inputs!$B$4,0))*(1+Inputs!$B$2*MAX(E255,F255*Inputs!$B$3))</f>
        <v>402.4</v>
      </c>
      <c r="H255" s="18" t="n">
        <f aca="false">C255*(1+IF(A255&gt;=Inputs!$C$5,Inputs!$C$4,0))*(1+Inputs!$C$2*MAX(E255,F255*Inputs!$C$3))</f>
        <v>402.4</v>
      </c>
      <c r="I255" s="18" t="n">
        <f aca="false">C255*(1+IF(A255&gt;=Inputs!$D$5,Inputs!$D$4,0))*(1+Inputs!$D$2*MAX(E255,F255*Inputs!$D$3))</f>
        <v>362.16</v>
      </c>
    </row>
    <row r="256" customFormat="false" ht="15" hidden="false" customHeight="false" outlineLevel="0" collapsed="false">
      <c r="A256" s="16" t="n">
        <v>45728</v>
      </c>
      <c r="B256" s="8" t="str">
        <f aca="false">TEXT(A256,"yyyy-mm")</f>
        <v>2025-03</v>
      </c>
      <c r="C256" s="17" t="n">
        <v>402.4</v>
      </c>
      <c r="D256" s="8"/>
      <c r="E256" s="8" t="n">
        <v>0</v>
      </c>
      <c r="F256" s="8" t="n">
        <v>0</v>
      </c>
      <c r="G256" s="18" t="n">
        <f aca="false">C256*(1+IF(A256&gt;=Inputs!$B$5,Inputs!$B$4,0))*(1+Inputs!$B$2*MAX(E256,F256*Inputs!$B$3))</f>
        <v>402.4</v>
      </c>
      <c r="H256" s="18" t="n">
        <f aca="false">C256*(1+IF(A256&gt;=Inputs!$C$5,Inputs!$C$4,0))*(1+Inputs!$C$2*MAX(E256,F256*Inputs!$C$3))</f>
        <v>402.4</v>
      </c>
      <c r="I256" s="18" t="n">
        <f aca="false">C256*(1+IF(A256&gt;=Inputs!$D$5,Inputs!$D$4,0))*(1+Inputs!$D$2*MAX(E256,F256*Inputs!$D$3))</f>
        <v>362.16</v>
      </c>
    </row>
    <row r="257" customFormat="false" ht="15" hidden="false" customHeight="false" outlineLevel="0" collapsed="false">
      <c r="A257" s="16" t="n">
        <v>45729</v>
      </c>
      <c r="B257" s="8" t="str">
        <f aca="false">TEXT(A257,"yyyy-mm")</f>
        <v>2025-03</v>
      </c>
      <c r="C257" s="17" t="n">
        <v>402.4</v>
      </c>
      <c r="D257" s="8"/>
      <c r="E257" s="8" t="n">
        <v>0</v>
      </c>
      <c r="F257" s="8" t="n">
        <v>0</v>
      </c>
      <c r="G257" s="18" t="n">
        <f aca="false">C257*(1+IF(A257&gt;=Inputs!$B$5,Inputs!$B$4,0))*(1+Inputs!$B$2*MAX(E257,F257*Inputs!$B$3))</f>
        <v>402.4</v>
      </c>
      <c r="H257" s="18" t="n">
        <f aca="false">C257*(1+IF(A257&gt;=Inputs!$C$5,Inputs!$C$4,0))*(1+Inputs!$C$2*MAX(E257,F257*Inputs!$C$3))</f>
        <v>402.4</v>
      </c>
      <c r="I257" s="18" t="n">
        <f aca="false">C257*(1+IF(A257&gt;=Inputs!$D$5,Inputs!$D$4,0))*(1+Inputs!$D$2*MAX(E257,F257*Inputs!$D$3))</f>
        <v>362.16</v>
      </c>
    </row>
    <row r="258" customFormat="false" ht="15" hidden="false" customHeight="false" outlineLevel="0" collapsed="false">
      <c r="A258" s="16" t="n">
        <v>45730</v>
      </c>
      <c r="B258" s="8" t="str">
        <f aca="false">TEXT(A258,"yyyy-mm")</f>
        <v>2025-03</v>
      </c>
      <c r="C258" s="17" t="n">
        <v>402.4</v>
      </c>
      <c r="D258" s="8"/>
      <c r="E258" s="8" t="n">
        <v>0</v>
      </c>
      <c r="F258" s="8" t="n">
        <v>0</v>
      </c>
      <c r="G258" s="18" t="n">
        <f aca="false">C258*(1+IF(A258&gt;=Inputs!$B$5,Inputs!$B$4,0))*(1+Inputs!$B$2*MAX(E258,F258*Inputs!$B$3))</f>
        <v>402.4</v>
      </c>
      <c r="H258" s="18" t="n">
        <f aca="false">C258*(1+IF(A258&gt;=Inputs!$C$5,Inputs!$C$4,0))*(1+Inputs!$C$2*MAX(E258,F258*Inputs!$C$3))</f>
        <v>402.4</v>
      </c>
      <c r="I258" s="18" t="n">
        <f aca="false">C258*(1+IF(A258&gt;=Inputs!$D$5,Inputs!$D$4,0))*(1+Inputs!$D$2*MAX(E258,F258*Inputs!$D$3))</f>
        <v>362.16</v>
      </c>
    </row>
    <row r="259" customFormat="false" ht="15" hidden="false" customHeight="false" outlineLevel="0" collapsed="false">
      <c r="A259" s="16" t="n">
        <v>45731</v>
      </c>
      <c r="B259" s="8" t="str">
        <f aca="false">TEXT(A259,"yyyy-mm")</f>
        <v>2025-03</v>
      </c>
      <c r="C259" s="17" t="n">
        <v>402.4</v>
      </c>
      <c r="D259" s="8"/>
      <c r="E259" s="8" t="n">
        <v>0</v>
      </c>
      <c r="F259" s="8" t="n">
        <v>0</v>
      </c>
      <c r="G259" s="18" t="n">
        <f aca="false">C259*(1+IF(A259&gt;=Inputs!$B$5,Inputs!$B$4,0))*(1+Inputs!$B$2*MAX(E259,F259*Inputs!$B$3))</f>
        <v>402.4</v>
      </c>
      <c r="H259" s="18" t="n">
        <f aca="false">C259*(1+IF(A259&gt;=Inputs!$C$5,Inputs!$C$4,0))*(1+Inputs!$C$2*MAX(E259,F259*Inputs!$C$3))</f>
        <v>402.4</v>
      </c>
      <c r="I259" s="18" t="n">
        <f aca="false">C259*(1+IF(A259&gt;=Inputs!$D$5,Inputs!$D$4,0))*(1+Inputs!$D$2*MAX(E259,F259*Inputs!$D$3))</f>
        <v>362.16</v>
      </c>
    </row>
    <row r="260" customFormat="false" ht="15" hidden="false" customHeight="false" outlineLevel="0" collapsed="false">
      <c r="A260" s="16" t="n">
        <v>45732</v>
      </c>
      <c r="B260" s="8" t="str">
        <f aca="false">TEXT(A260,"yyyy-mm")</f>
        <v>2025-03</v>
      </c>
      <c r="C260" s="17" t="n">
        <v>402.4</v>
      </c>
      <c r="D260" s="8"/>
      <c r="E260" s="8" t="n">
        <v>0</v>
      </c>
      <c r="F260" s="8" t="n">
        <v>0</v>
      </c>
      <c r="G260" s="18" t="n">
        <f aca="false">C260*(1+IF(A260&gt;=Inputs!$B$5,Inputs!$B$4,0))*(1+Inputs!$B$2*MAX(E260,F260*Inputs!$B$3))</f>
        <v>402.4</v>
      </c>
      <c r="H260" s="18" t="n">
        <f aca="false">C260*(1+IF(A260&gt;=Inputs!$C$5,Inputs!$C$4,0))*(1+Inputs!$C$2*MAX(E260,F260*Inputs!$C$3))</f>
        <v>402.4</v>
      </c>
      <c r="I260" s="18" t="n">
        <f aca="false">C260*(1+IF(A260&gt;=Inputs!$D$5,Inputs!$D$4,0))*(1+Inputs!$D$2*MAX(E260,F260*Inputs!$D$3))</f>
        <v>362.16</v>
      </c>
    </row>
    <row r="261" customFormat="false" ht="15" hidden="false" customHeight="false" outlineLevel="0" collapsed="false">
      <c r="A261" s="16" t="n">
        <v>45733</v>
      </c>
      <c r="B261" s="8" t="str">
        <f aca="false">TEXT(A261,"yyyy-mm")</f>
        <v>2025-03</v>
      </c>
      <c r="C261" s="17" t="n">
        <v>402.4</v>
      </c>
      <c r="D261" s="8"/>
      <c r="E261" s="8" t="n">
        <v>0</v>
      </c>
      <c r="F261" s="8" t="n">
        <v>0</v>
      </c>
      <c r="G261" s="18" t="n">
        <f aca="false">C261*(1+IF(A261&gt;=Inputs!$B$5,Inputs!$B$4,0))*(1+Inputs!$B$2*MAX(E261,F261*Inputs!$B$3))</f>
        <v>402.4</v>
      </c>
      <c r="H261" s="18" t="n">
        <f aca="false">C261*(1+IF(A261&gt;=Inputs!$C$5,Inputs!$C$4,0))*(1+Inputs!$C$2*MAX(E261,F261*Inputs!$C$3))</f>
        <v>402.4</v>
      </c>
      <c r="I261" s="18" t="n">
        <f aca="false">C261*(1+IF(A261&gt;=Inputs!$D$5,Inputs!$D$4,0))*(1+Inputs!$D$2*MAX(E261,F261*Inputs!$D$3))</f>
        <v>362.16</v>
      </c>
    </row>
    <row r="262" customFormat="false" ht="15" hidden="false" customHeight="false" outlineLevel="0" collapsed="false">
      <c r="A262" s="16" t="n">
        <v>45734</v>
      </c>
      <c r="B262" s="8" t="str">
        <f aca="false">TEXT(A262,"yyyy-mm")</f>
        <v>2025-03</v>
      </c>
      <c r="C262" s="17" t="n">
        <v>402.4</v>
      </c>
      <c r="D262" s="8"/>
      <c r="E262" s="8" t="n">
        <v>0</v>
      </c>
      <c r="F262" s="8" t="n">
        <v>0</v>
      </c>
      <c r="G262" s="18" t="n">
        <f aca="false">C262*(1+IF(A262&gt;=Inputs!$B$5,Inputs!$B$4,0))*(1+Inputs!$B$2*MAX(E262,F262*Inputs!$B$3))</f>
        <v>402.4</v>
      </c>
      <c r="H262" s="18" t="n">
        <f aca="false">C262*(1+IF(A262&gt;=Inputs!$C$5,Inputs!$C$4,0))*(1+Inputs!$C$2*MAX(E262,F262*Inputs!$C$3))</f>
        <v>402.4</v>
      </c>
      <c r="I262" s="18" t="n">
        <f aca="false">C262*(1+IF(A262&gt;=Inputs!$D$5,Inputs!$D$4,0))*(1+Inputs!$D$2*MAX(E262,F262*Inputs!$D$3))</f>
        <v>362.16</v>
      </c>
    </row>
    <row r="263" customFormat="false" ht="15" hidden="false" customHeight="false" outlineLevel="0" collapsed="false">
      <c r="A263" s="16" t="n">
        <v>45735</v>
      </c>
      <c r="B263" s="8" t="str">
        <f aca="false">TEXT(A263,"yyyy-mm")</f>
        <v>2025-03</v>
      </c>
      <c r="C263" s="17" t="n">
        <v>402.4</v>
      </c>
      <c r="D263" s="8"/>
      <c r="E263" s="8" t="n">
        <v>0</v>
      </c>
      <c r="F263" s="8" t="n">
        <v>0</v>
      </c>
      <c r="G263" s="18" t="n">
        <f aca="false">C263*(1+IF(A263&gt;=Inputs!$B$5,Inputs!$B$4,0))*(1+Inputs!$B$2*MAX(E263,F263*Inputs!$B$3))</f>
        <v>402.4</v>
      </c>
      <c r="H263" s="18" t="n">
        <f aca="false">C263*(1+IF(A263&gt;=Inputs!$C$5,Inputs!$C$4,0))*(1+Inputs!$C$2*MAX(E263,F263*Inputs!$C$3))</f>
        <v>402.4</v>
      </c>
      <c r="I263" s="18" t="n">
        <f aca="false">C263*(1+IF(A263&gt;=Inputs!$D$5,Inputs!$D$4,0))*(1+Inputs!$D$2*MAX(E263,F263*Inputs!$D$3))</f>
        <v>362.16</v>
      </c>
    </row>
    <row r="264" customFormat="false" ht="15" hidden="false" customHeight="false" outlineLevel="0" collapsed="false">
      <c r="A264" s="16" t="n">
        <v>45736</v>
      </c>
      <c r="B264" s="8" t="str">
        <f aca="false">TEXT(A264,"yyyy-mm")</f>
        <v>2025-03</v>
      </c>
      <c r="C264" s="17" t="n">
        <v>402.4</v>
      </c>
      <c r="D264" s="8"/>
      <c r="E264" s="8" t="n">
        <v>0</v>
      </c>
      <c r="F264" s="8" t="n">
        <v>0</v>
      </c>
      <c r="G264" s="18" t="n">
        <f aca="false">C264*(1+IF(A264&gt;=Inputs!$B$5,Inputs!$B$4,0))*(1+Inputs!$B$2*MAX(E264,F264*Inputs!$B$3))</f>
        <v>402.4</v>
      </c>
      <c r="H264" s="18" t="n">
        <f aca="false">C264*(1+IF(A264&gt;=Inputs!$C$5,Inputs!$C$4,0))*(1+Inputs!$C$2*MAX(E264,F264*Inputs!$C$3))</f>
        <v>402.4</v>
      </c>
      <c r="I264" s="18" t="n">
        <f aca="false">C264*(1+IF(A264&gt;=Inputs!$D$5,Inputs!$D$4,0))*(1+Inputs!$D$2*MAX(E264,F264*Inputs!$D$3))</f>
        <v>362.16</v>
      </c>
    </row>
    <row r="265" customFormat="false" ht="15" hidden="false" customHeight="false" outlineLevel="0" collapsed="false">
      <c r="A265" s="16" t="n">
        <v>45737</v>
      </c>
      <c r="B265" s="8" t="str">
        <f aca="false">TEXT(A265,"yyyy-mm")</f>
        <v>2025-03</v>
      </c>
      <c r="C265" s="17" t="n">
        <v>402.4</v>
      </c>
      <c r="D265" s="8"/>
      <c r="E265" s="8" t="n">
        <v>0</v>
      </c>
      <c r="F265" s="8" t="n">
        <v>0</v>
      </c>
      <c r="G265" s="18" t="n">
        <f aca="false">C265*(1+IF(A265&gt;=Inputs!$B$5,Inputs!$B$4,0))*(1+Inputs!$B$2*MAX(E265,F265*Inputs!$B$3))</f>
        <v>402.4</v>
      </c>
      <c r="H265" s="18" t="n">
        <f aca="false">C265*(1+IF(A265&gt;=Inputs!$C$5,Inputs!$C$4,0))*(1+Inputs!$C$2*MAX(E265,F265*Inputs!$C$3))</f>
        <v>402.4</v>
      </c>
      <c r="I265" s="18" t="n">
        <f aca="false">C265*(1+IF(A265&gt;=Inputs!$D$5,Inputs!$D$4,0))*(1+Inputs!$D$2*MAX(E265,F265*Inputs!$D$3))</f>
        <v>362.16</v>
      </c>
    </row>
    <row r="266" customFormat="false" ht="15" hidden="false" customHeight="false" outlineLevel="0" collapsed="false">
      <c r="A266" s="16" t="n">
        <v>45738</v>
      </c>
      <c r="B266" s="8" t="str">
        <f aca="false">TEXT(A266,"yyyy-mm")</f>
        <v>2025-03</v>
      </c>
      <c r="C266" s="17" t="n">
        <v>402.4</v>
      </c>
      <c r="D266" s="8"/>
      <c r="E266" s="8" t="n">
        <v>0</v>
      </c>
      <c r="F266" s="8" t="n">
        <v>0</v>
      </c>
      <c r="G266" s="18" t="n">
        <f aca="false">C266*(1+IF(A266&gt;=Inputs!$B$5,Inputs!$B$4,0))*(1+Inputs!$B$2*MAX(E266,F266*Inputs!$B$3))</f>
        <v>402.4</v>
      </c>
      <c r="H266" s="18" t="n">
        <f aca="false">C266*(1+IF(A266&gt;=Inputs!$C$5,Inputs!$C$4,0))*(1+Inputs!$C$2*MAX(E266,F266*Inputs!$C$3))</f>
        <v>402.4</v>
      </c>
      <c r="I266" s="18" t="n">
        <f aca="false">C266*(1+IF(A266&gt;=Inputs!$D$5,Inputs!$D$4,0))*(1+Inputs!$D$2*MAX(E266,F266*Inputs!$D$3))</f>
        <v>362.16</v>
      </c>
    </row>
    <row r="267" customFormat="false" ht="15" hidden="false" customHeight="false" outlineLevel="0" collapsed="false">
      <c r="A267" s="16" t="n">
        <v>45739</v>
      </c>
      <c r="B267" s="8" t="str">
        <f aca="false">TEXT(A267,"yyyy-mm")</f>
        <v>2025-03</v>
      </c>
      <c r="C267" s="17" t="n">
        <v>402.4</v>
      </c>
      <c r="D267" s="8"/>
      <c r="E267" s="8" t="n">
        <v>0</v>
      </c>
      <c r="F267" s="8" t="n">
        <v>0</v>
      </c>
      <c r="G267" s="18" t="n">
        <f aca="false">C267*(1+IF(A267&gt;=Inputs!$B$5,Inputs!$B$4,0))*(1+Inputs!$B$2*MAX(E267,F267*Inputs!$B$3))</f>
        <v>402.4</v>
      </c>
      <c r="H267" s="18" t="n">
        <f aca="false">C267*(1+IF(A267&gt;=Inputs!$C$5,Inputs!$C$4,0))*(1+Inputs!$C$2*MAX(E267,F267*Inputs!$C$3))</f>
        <v>402.4</v>
      </c>
      <c r="I267" s="18" t="n">
        <f aca="false">C267*(1+IF(A267&gt;=Inputs!$D$5,Inputs!$D$4,0))*(1+Inputs!$D$2*MAX(E267,F267*Inputs!$D$3))</f>
        <v>362.16</v>
      </c>
    </row>
    <row r="268" customFormat="false" ht="15" hidden="false" customHeight="false" outlineLevel="0" collapsed="false">
      <c r="A268" s="16" t="n">
        <v>45740</v>
      </c>
      <c r="B268" s="8" t="str">
        <f aca="false">TEXT(A268,"yyyy-mm")</f>
        <v>2025-03</v>
      </c>
      <c r="C268" s="17" t="n">
        <v>402.4</v>
      </c>
      <c r="D268" s="8"/>
      <c r="E268" s="8" t="n">
        <v>0</v>
      </c>
      <c r="F268" s="8" t="n">
        <v>0</v>
      </c>
      <c r="G268" s="18" t="n">
        <f aca="false">C268*(1+IF(A268&gt;=Inputs!$B$5,Inputs!$B$4,0))*(1+Inputs!$B$2*MAX(E268,F268*Inputs!$B$3))</f>
        <v>402.4</v>
      </c>
      <c r="H268" s="18" t="n">
        <f aca="false">C268*(1+IF(A268&gt;=Inputs!$C$5,Inputs!$C$4,0))*(1+Inputs!$C$2*MAX(E268,F268*Inputs!$C$3))</f>
        <v>402.4</v>
      </c>
      <c r="I268" s="18" t="n">
        <f aca="false">C268*(1+IF(A268&gt;=Inputs!$D$5,Inputs!$D$4,0))*(1+Inputs!$D$2*MAX(E268,F268*Inputs!$D$3))</f>
        <v>362.16</v>
      </c>
    </row>
    <row r="269" customFormat="false" ht="15" hidden="false" customHeight="false" outlineLevel="0" collapsed="false">
      <c r="A269" s="16" t="n">
        <v>45741</v>
      </c>
      <c r="B269" s="8" t="str">
        <f aca="false">TEXT(A269,"yyyy-mm")</f>
        <v>2025-03</v>
      </c>
      <c r="C269" s="17" t="n">
        <v>402.4</v>
      </c>
      <c r="D269" s="8"/>
      <c r="E269" s="8" t="n">
        <v>0</v>
      </c>
      <c r="F269" s="8" t="n">
        <v>0</v>
      </c>
      <c r="G269" s="18" t="n">
        <f aca="false">C269*(1+IF(A269&gt;=Inputs!$B$5,Inputs!$B$4,0))*(1+Inputs!$B$2*MAX(E269,F269*Inputs!$B$3))</f>
        <v>402.4</v>
      </c>
      <c r="H269" s="18" t="n">
        <f aca="false">C269*(1+IF(A269&gt;=Inputs!$C$5,Inputs!$C$4,0))*(1+Inputs!$C$2*MAX(E269,F269*Inputs!$C$3))</f>
        <v>402.4</v>
      </c>
      <c r="I269" s="18" t="n">
        <f aca="false">C269*(1+IF(A269&gt;=Inputs!$D$5,Inputs!$D$4,0))*(1+Inputs!$D$2*MAX(E269,F269*Inputs!$D$3))</f>
        <v>362.16</v>
      </c>
    </row>
    <row r="270" customFormat="false" ht="15" hidden="false" customHeight="false" outlineLevel="0" collapsed="false">
      <c r="A270" s="16" t="n">
        <v>45742</v>
      </c>
      <c r="B270" s="8" t="str">
        <f aca="false">TEXT(A270,"yyyy-mm")</f>
        <v>2025-03</v>
      </c>
      <c r="C270" s="17" t="n">
        <v>402.4</v>
      </c>
      <c r="D270" s="8"/>
      <c r="E270" s="8" t="n">
        <v>0</v>
      </c>
      <c r="F270" s="8" t="n">
        <v>0</v>
      </c>
      <c r="G270" s="18" t="n">
        <f aca="false">C270*(1+IF(A270&gt;=Inputs!$B$5,Inputs!$B$4,0))*(1+Inputs!$B$2*MAX(E270,F270*Inputs!$B$3))</f>
        <v>402.4</v>
      </c>
      <c r="H270" s="18" t="n">
        <f aca="false">C270*(1+IF(A270&gt;=Inputs!$C$5,Inputs!$C$4,0))*(1+Inputs!$C$2*MAX(E270,F270*Inputs!$C$3))</f>
        <v>402.4</v>
      </c>
      <c r="I270" s="18" t="n">
        <f aca="false">C270*(1+IF(A270&gt;=Inputs!$D$5,Inputs!$D$4,0))*(1+Inputs!$D$2*MAX(E270,F270*Inputs!$D$3))</f>
        <v>362.16</v>
      </c>
    </row>
    <row r="271" customFormat="false" ht="15" hidden="false" customHeight="false" outlineLevel="0" collapsed="false">
      <c r="A271" s="16" t="n">
        <v>45743</v>
      </c>
      <c r="B271" s="8" t="str">
        <f aca="false">TEXT(A271,"yyyy-mm")</f>
        <v>2025-03</v>
      </c>
      <c r="C271" s="17" t="n">
        <v>402.4</v>
      </c>
      <c r="D271" s="8"/>
      <c r="E271" s="8" t="n">
        <v>0</v>
      </c>
      <c r="F271" s="8" t="n">
        <v>0</v>
      </c>
      <c r="G271" s="18" t="n">
        <f aca="false">C271*(1+IF(A271&gt;=Inputs!$B$5,Inputs!$B$4,0))*(1+Inputs!$B$2*MAX(E271,F271*Inputs!$B$3))</f>
        <v>402.4</v>
      </c>
      <c r="H271" s="18" t="n">
        <f aca="false">C271*(1+IF(A271&gt;=Inputs!$C$5,Inputs!$C$4,0))*(1+Inputs!$C$2*MAX(E271,F271*Inputs!$C$3))</f>
        <v>402.4</v>
      </c>
      <c r="I271" s="18" t="n">
        <f aca="false">C271*(1+IF(A271&gt;=Inputs!$D$5,Inputs!$D$4,0))*(1+Inputs!$D$2*MAX(E271,F271*Inputs!$D$3))</f>
        <v>362.16</v>
      </c>
    </row>
    <row r="272" customFormat="false" ht="15" hidden="false" customHeight="false" outlineLevel="0" collapsed="false">
      <c r="A272" s="16" t="n">
        <v>45744</v>
      </c>
      <c r="B272" s="8" t="str">
        <f aca="false">TEXT(A272,"yyyy-mm")</f>
        <v>2025-03</v>
      </c>
      <c r="C272" s="17" t="n">
        <v>402.4</v>
      </c>
      <c r="D272" s="8"/>
      <c r="E272" s="8" t="n">
        <v>0</v>
      </c>
      <c r="F272" s="8" t="n">
        <v>0</v>
      </c>
      <c r="G272" s="18" t="n">
        <f aca="false">C272*(1+IF(A272&gt;=Inputs!$B$5,Inputs!$B$4,0))*(1+Inputs!$B$2*MAX(E272,F272*Inputs!$B$3))</f>
        <v>402.4</v>
      </c>
      <c r="H272" s="18" t="n">
        <f aca="false">C272*(1+IF(A272&gt;=Inputs!$C$5,Inputs!$C$4,0))*(1+Inputs!$C$2*MAX(E272,F272*Inputs!$C$3))</f>
        <v>402.4</v>
      </c>
      <c r="I272" s="18" t="n">
        <f aca="false">C272*(1+IF(A272&gt;=Inputs!$D$5,Inputs!$D$4,0))*(1+Inputs!$D$2*MAX(E272,F272*Inputs!$D$3))</f>
        <v>362.16</v>
      </c>
    </row>
    <row r="273" customFormat="false" ht="15" hidden="false" customHeight="false" outlineLevel="0" collapsed="false">
      <c r="A273" s="16" t="n">
        <v>45745</v>
      </c>
      <c r="B273" s="8" t="str">
        <f aca="false">TEXT(A273,"yyyy-mm")</f>
        <v>2025-03</v>
      </c>
      <c r="C273" s="17" t="n">
        <v>402.4</v>
      </c>
      <c r="D273" s="8"/>
      <c r="E273" s="8" t="n">
        <v>0</v>
      </c>
      <c r="F273" s="8" t="n">
        <v>0</v>
      </c>
      <c r="G273" s="18" t="n">
        <f aca="false">C273*(1+IF(A273&gt;=Inputs!$B$5,Inputs!$B$4,0))*(1+Inputs!$B$2*MAX(E273,F273*Inputs!$B$3))</f>
        <v>402.4</v>
      </c>
      <c r="H273" s="18" t="n">
        <f aca="false">C273*(1+IF(A273&gt;=Inputs!$C$5,Inputs!$C$4,0))*(1+Inputs!$C$2*MAX(E273,F273*Inputs!$C$3))</f>
        <v>402.4</v>
      </c>
      <c r="I273" s="18" t="n">
        <f aca="false">C273*(1+IF(A273&gt;=Inputs!$D$5,Inputs!$D$4,0))*(1+Inputs!$D$2*MAX(E273,F273*Inputs!$D$3))</f>
        <v>362.16</v>
      </c>
    </row>
    <row r="274" customFormat="false" ht="15" hidden="false" customHeight="false" outlineLevel="0" collapsed="false">
      <c r="A274" s="16" t="n">
        <v>45746</v>
      </c>
      <c r="B274" s="8" t="str">
        <f aca="false">TEXT(A274,"yyyy-mm")</f>
        <v>2025-03</v>
      </c>
      <c r="C274" s="17" t="n">
        <v>402.4</v>
      </c>
      <c r="D274" s="8"/>
      <c r="E274" s="8" t="n">
        <v>0</v>
      </c>
      <c r="F274" s="8" t="n">
        <v>0</v>
      </c>
      <c r="G274" s="18" t="n">
        <f aca="false">C274*(1+IF(A274&gt;=Inputs!$B$5,Inputs!$B$4,0))*(1+Inputs!$B$2*MAX(E274,F274*Inputs!$B$3))</f>
        <v>402.4</v>
      </c>
      <c r="H274" s="18" t="n">
        <f aca="false">C274*(1+IF(A274&gt;=Inputs!$C$5,Inputs!$C$4,0))*(1+Inputs!$C$2*MAX(E274,F274*Inputs!$C$3))</f>
        <v>402.4</v>
      </c>
      <c r="I274" s="18" t="n">
        <f aca="false">C274*(1+IF(A274&gt;=Inputs!$D$5,Inputs!$D$4,0))*(1+Inputs!$D$2*MAX(E274,F274*Inputs!$D$3))</f>
        <v>362.16</v>
      </c>
    </row>
    <row r="275" customFormat="false" ht="15" hidden="false" customHeight="false" outlineLevel="0" collapsed="false">
      <c r="A275" s="16" t="n">
        <v>45747</v>
      </c>
      <c r="B275" s="8" t="str">
        <f aca="false">TEXT(A275,"yyyy-mm")</f>
        <v>2025-03</v>
      </c>
      <c r="C275" s="17" t="n">
        <v>402.4</v>
      </c>
      <c r="D275" s="8"/>
      <c r="E275" s="8" t="n">
        <v>0</v>
      </c>
      <c r="F275" s="8" t="n">
        <v>0</v>
      </c>
      <c r="G275" s="18" t="n">
        <f aca="false">C275*(1+IF(A275&gt;=Inputs!$B$5,Inputs!$B$4,0))*(1+Inputs!$B$2*MAX(E275,F275*Inputs!$B$3))</f>
        <v>402.4</v>
      </c>
      <c r="H275" s="18" t="n">
        <f aca="false">C275*(1+IF(A275&gt;=Inputs!$C$5,Inputs!$C$4,0))*(1+Inputs!$C$2*MAX(E275,F275*Inputs!$C$3))</f>
        <v>402.4</v>
      </c>
      <c r="I275" s="18" t="n">
        <f aca="false">C275*(1+IF(A275&gt;=Inputs!$D$5,Inputs!$D$4,0))*(1+Inputs!$D$2*MAX(E275,F275*Inputs!$D$3))</f>
        <v>362.16</v>
      </c>
    </row>
    <row r="276" customFormat="false" ht="15" hidden="false" customHeight="false" outlineLevel="0" collapsed="false">
      <c r="A276" s="16" t="n">
        <v>45748</v>
      </c>
      <c r="B276" s="8" t="str">
        <f aca="false">TEXT(A276,"yyyy-mm")</f>
        <v>2025-04</v>
      </c>
      <c r="C276" s="17" t="n">
        <v>402.4</v>
      </c>
      <c r="D276" s="8"/>
      <c r="E276" s="8" t="n">
        <v>0</v>
      </c>
      <c r="F276" s="8" t="n">
        <v>0</v>
      </c>
      <c r="G276" s="18" t="n">
        <f aca="false">C276*(1+IF(A276&gt;=Inputs!$B$5,Inputs!$B$4,0))*(1+Inputs!$B$2*MAX(E276,F276*Inputs!$B$3))</f>
        <v>402.4</v>
      </c>
      <c r="H276" s="18" t="n">
        <f aca="false">C276*(1+IF(A276&gt;=Inputs!$C$5,Inputs!$C$4,0))*(1+Inputs!$C$2*MAX(E276,F276*Inputs!$C$3))</f>
        <v>402.4</v>
      </c>
      <c r="I276" s="18" t="n">
        <f aca="false">C276*(1+IF(A276&gt;=Inputs!$D$5,Inputs!$D$4,0))*(1+Inputs!$D$2*MAX(E276,F276*Inputs!$D$3))</f>
        <v>362.16</v>
      </c>
    </row>
    <row r="277" customFormat="false" ht="15" hidden="false" customHeight="false" outlineLevel="0" collapsed="false">
      <c r="A277" s="16" t="n">
        <v>45749</v>
      </c>
      <c r="B277" s="8" t="str">
        <f aca="false">TEXT(A277,"yyyy-mm")</f>
        <v>2025-04</v>
      </c>
      <c r="C277" s="17" t="n">
        <v>402.4</v>
      </c>
      <c r="D277" s="8"/>
      <c r="E277" s="8" t="n">
        <v>0</v>
      </c>
      <c r="F277" s="8" t="n">
        <v>0</v>
      </c>
      <c r="G277" s="18" t="n">
        <f aca="false">C277*(1+IF(A277&gt;=Inputs!$B$5,Inputs!$B$4,0))*(1+Inputs!$B$2*MAX(E277,F277*Inputs!$B$3))</f>
        <v>402.4</v>
      </c>
      <c r="H277" s="18" t="n">
        <f aca="false">C277*(1+IF(A277&gt;=Inputs!$C$5,Inputs!$C$4,0))*(1+Inputs!$C$2*MAX(E277,F277*Inputs!$C$3))</f>
        <v>402.4</v>
      </c>
      <c r="I277" s="18" t="n">
        <f aca="false">C277*(1+IF(A277&gt;=Inputs!$D$5,Inputs!$D$4,0))*(1+Inputs!$D$2*MAX(E277,F277*Inputs!$D$3))</f>
        <v>362.16</v>
      </c>
    </row>
    <row r="278" customFormat="false" ht="15" hidden="false" customHeight="false" outlineLevel="0" collapsed="false">
      <c r="A278" s="16" t="n">
        <v>45750</v>
      </c>
      <c r="B278" s="8" t="str">
        <f aca="false">TEXT(A278,"yyyy-mm")</f>
        <v>2025-04</v>
      </c>
      <c r="C278" s="17" t="n">
        <v>402.4</v>
      </c>
      <c r="D278" s="8"/>
      <c r="E278" s="8" t="n">
        <v>0</v>
      </c>
      <c r="F278" s="8" t="n">
        <v>0</v>
      </c>
      <c r="G278" s="18" t="n">
        <f aca="false">C278*(1+IF(A278&gt;=Inputs!$B$5,Inputs!$B$4,0))*(1+Inputs!$B$2*MAX(E278,F278*Inputs!$B$3))</f>
        <v>402.4</v>
      </c>
      <c r="H278" s="18" t="n">
        <f aca="false">C278*(1+IF(A278&gt;=Inputs!$C$5,Inputs!$C$4,0))*(1+Inputs!$C$2*MAX(E278,F278*Inputs!$C$3))</f>
        <v>402.4</v>
      </c>
      <c r="I278" s="18" t="n">
        <f aca="false">C278*(1+IF(A278&gt;=Inputs!$D$5,Inputs!$D$4,0))*(1+Inputs!$D$2*MAX(E278,F278*Inputs!$D$3))</f>
        <v>362.16</v>
      </c>
    </row>
    <row r="279" customFormat="false" ht="15" hidden="false" customHeight="false" outlineLevel="0" collapsed="false">
      <c r="A279" s="16" t="n">
        <v>45751</v>
      </c>
      <c r="B279" s="8" t="str">
        <f aca="false">TEXT(A279,"yyyy-mm")</f>
        <v>2025-04</v>
      </c>
      <c r="C279" s="17" t="n">
        <v>402.4</v>
      </c>
      <c r="D279" s="8"/>
      <c r="E279" s="8" t="n">
        <v>0</v>
      </c>
      <c r="F279" s="8" t="n">
        <v>1</v>
      </c>
      <c r="G279" s="18" t="n">
        <f aca="false">C279*(1+IF(A279&gt;=Inputs!$B$5,Inputs!$B$4,0))*(1+Inputs!$B$2*MAX(E279,F279*Inputs!$B$3))</f>
        <v>402.4</v>
      </c>
      <c r="H279" s="18" t="n">
        <f aca="false">C279*(1+IF(A279&gt;=Inputs!$C$5,Inputs!$C$4,0))*(1+Inputs!$C$2*MAX(E279,F279*Inputs!$C$3))</f>
        <v>603.6</v>
      </c>
      <c r="I279" s="18" t="n">
        <f aca="false">C279*(1+IF(A279&gt;=Inputs!$D$5,Inputs!$D$4,0))*(1+Inputs!$D$2*MAX(E279,F279*Inputs!$D$3))</f>
        <v>362.16</v>
      </c>
    </row>
    <row r="280" customFormat="false" ht="15" hidden="false" customHeight="false" outlineLevel="0" collapsed="false">
      <c r="A280" s="16" t="n">
        <v>45752</v>
      </c>
      <c r="B280" s="8" t="str">
        <f aca="false">TEXT(A280,"yyyy-mm")</f>
        <v>2025-04</v>
      </c>
      <c r="C280" s="17" t="n">
        <v>402.4</v>
      </c>
      <c r="D280" s="8"/>
      <c r="E280" s="8" t="n">
        <v>0</v>
      </c>
      <c r="F280" s="8" t="n">
        <v>1</v>
      </c>
      <c r="G280" s="18" t="n">
        <f aca="false">C280*(1+IF(A280&gt;=Inputs!$B$5,Inputs!$B$4,0))*(1+Inputs!$B$2*MAX(E280,F280*Inputs!$B$3))</f>
        <v>402.4</v>
      </c>
      <c r="H280" s="18" t="n">
        <f aca="false">C280*(1+IF(A280&gt;=Inputs!$C$5,Inputs!$C$4,0))*(1+Inputs!$C$2*MAX(E280,F280*Inputs!$C$3))</f>
        <v>603.6</v>
      </c>
      <c r="I280" s="18" t="n">
        <f aca="false">C280*(1+IF(A280&gt;=Inputs!$D$5,Inputs!$D$4,0))*(1+Inputs!$D$2*MAX(E280,F280*Inputs!$D$3))</f>
        <v>362.16</v>
      </c>
    </row>
    <row r="281" customFormat="false" ht="15" hidden="false" customHeight="false" outlineLevel="0" collapsed="false">
      <c r="A281" s="16" t="n">
        <v>45753</v>
      </c>
      <c r="B281" s="8" t="str">
        <f aca="false">TEXT(A281,"yyyy-mm")</f>
        <v>2025-04</v>
      </c>
      <c r="C281" s="17" t="n">
        <v>402.4</v>
      </c>
      <c r="D281" s="8"/>
      <c r="E281" s="8" t="n">
        <v>0</v>
      </c>
      <c r="F281" s="8" t="n">
        <v>0</v>
      </c>
      <c r="G281" s="18" t="n">
        <f aca="false">C281*(1+IF(A281&gt;=Inputs!$B$5,Inputs!$B$4,0))*(1+Inputs!$B$2*MAX(E281,F281*Inputs!$B$3))</f>
        <v>402.4</v>
      </c>
      <c r="H281" s="18" t="n">
        <f aca="false">C281*(1+IF(A281&gt;=Inputs!$C$5,Inputs!$C$4,0))*(1+Inputs!$C$2*MAX(E281,F281*Inputs!$C$3))</f>
        <v>402.4</v>
      </c>
      <c r="I281" s="18" t="n">
        <f aca="false">C281*(1+IF(A281&gt;=Inputs!$D$5,Inputs!$D$4,0))*(1+Inputs!$D$2*MAX(E281,F281*Inputs!$D$3))</f>
        <v>362.16</v>
      </c>
    </row>
    <row r="282" customFormat="false" ht="15" hidden="false" customHeight="false" outlineLevel="0" collapsed="false">
      <c r="A282" s="16" t="n">
        <v>45754</v>
      </c>
      <c r="B282" s="8" t="str">
        <f aca="false">TEXT(A282,"yyyy-mm")</f>
        <v>2025-04</v>
      </c>
      <c r="C282" s="17" t="n">
        <v>402.4</v>
      </c>
      <c r="D282" s="8"/>
      <c r="E282" s="8" t="n">
        <v>0</v>
      </c>
      <c r="F282" s="8" t="n">
        <v>0</v>
      </c>
      <c r="G282" s="18" t="n">
        <f aca="false">C282*(1+IF(A282&gt;=Inputs!$B$5,Inputs!$B$4,0))*(1+Inputs!$B$2*MAX(E282,F282*Inputs!$B$3))</f>
        <v>402.4</v>
      </c>
      <c r="H282" s="18" t="n">
        <f aca="false">C282*(1+IF(A282&gt;=Inputs!$C$5,Inputs!$C$4,0))*(1+Inputs!$C$2*MAX(E282,F282*Inputs!$C$3))</f>
        <v>402.4</v>
      </c>
      <c r="I282" s="18" t="n">
        <f aca="false">C282*(1+IF(A282&gt;=Inputs!$D$5,Inputs!$D$4,0))*(1+Inputs!$D$2*MAX(E282,F282*Inputs!$D$3))</f>
        <v>362.16</v>
      </c>
    </row>
    <row r="283" customFormat="false" ht="15" hidden="false" customHeight="false" outlineLevel="0" collapsed="false">
      <c r="A283" s="16" t="n">
        <v>45755</v>
      </c>
      <c r="B283" s="8" t="str">
        <f aca="false">TEXT(A283,"yyyy-mm")</f>
        <v>2025-04</v>
      </c>
      <c r="C283" s="17" t="n">
        <v>402.4</v>
      </c>
      <c r="D283" s="8"/>
      <c r="E283" s="8" t="n">
        <v>0</v>
      </c>
      <c r="F283" s="8" t="n">
        <v>0</v>
      </c>
      <c r="G283" s="18" t="n">
        <f aca="false">C283*(1+IF(A283&gt;=Inputs!$B$5,Inputs!$B$4,0))*(1+Inputs!$B$2*MAX(E283,F283*Inputs!$B$3))</f>
        <v>402.4</v>
      </c>
      <c r="H283" s="18" t="n">
        <f aca="false">C283*(1+IF(A283&gt;=Inputs!$C$5,Inputs!$C$4,0))*(1+Inputs!$C$2*MAX(E283,F283*Inputs!$C$3))</f>
        <v>402.4</v>
      </c>
      <c r="I283" s="18" t="n">
        <f aca="false">C283*(1+IF(A283&gt;=Inputs!$D$5,Inputs!$D$4,0))*(1+Inputs!$D$2*MAX(E283,F283*Inputs!$D$3))</f>
        <v>362.16</v>
      </c>
    </row>
    <row r="284" customFormat="false" ht="15" hidden="false" customHeight="false" outlineLevel="0" collapsed="false">
      <c r="A284" s="16" t="n">
        <v>45756</v>
      </c>
      <c r="B284" s="8" t="str">
        <f aca="false">TEXT(A284,"yyyy-mm")</f>
        <v>2025-04</v>
      </c>
      <c r="C284" s="17" t="n">
        <v>402.4</v>
      </c>
      <c r="D284" s="8"/>
      <c r="E284" s="8" t="n">
        <v>0</v>
      </c>
      <c r="F284" s="8" t="n">
        <v>0</v>
      </c>
      <c r="G284" s="18" t="n">
        <f aca="false">C284*(1+IF(A284&gt;=Inputs!$B$5,Inputs!$B$4,0))*(1+Inputs!$B$2*MAX(E284,F284*Inputs!$B$3))</f>
        <v>402.4</v>
      </c>
      <c r="H284" s="18" t="n">
        <f aca="false">C284*(1+IF(A284&gt;=Inputs!$C$5,Inputs!$C$4,0))*(1+Inputs!$C$2*MAX(E284,F284*Inputs!$C$3))</f>
        <v>402.4</v>
      </c>
      <c r="I284" s="18" t="n">
        <f aca="false">C284*(1+IF(A284&gt;=Inputs!$D$5,Inputs!$D$4,0))*(1+Inputs!$D$2*MAX(E284,F284*Inputs!$D$3))</f>
        <v>362.16</v>
      </c>
    </row>
    <row r="285" customFormat="false" ht="15" hidden="false" customHeight="false" outlineLevel="0" collapsed="false">
      <c r="A285" s="16" t="n">
        <v>45757</v>
      </c>
      <c r="B285" s="8" t="str">
        <f aca="false">TEXT(A285,"yyyy-mm")</f>
        <v>2025-04</v>
      </c>
      <c r="C285" s="17" t="n">
        <v>402.4</v>
      </c>
      <c r="D285" s="8"/>
      <c r="E285" s="8" t="n">
        <v>0</v>
      </c>
      <c r="F285" s="8" t="n">
        <v>0</v>
      </c>
      <c r="G285" s="18" t="n">
        <f aca="false">C285*(1+IF(A285&gt;=Inputs!$B$5,Inputs!$B$4,0))*(1+Inputs!$B$2*MAX(E285,F285*Inputs!$B$3))</f>
        <v>402.4</v>
      </c>
      <c r="H285" s="18" t="n">
        <f aca="false">C285*(1+IF(A285&gt;=Inputs!$C$5,Inputs!$C$4,0))*(1+Inputs!$C$2*MAX(E285,F285*Inputs!$C$3))</f>
        <v>402.4</v>
      </c>
      <c r="I285" s="18" t="n">
        <f aca="false">C285*(1+IF(A285&gt;=Inputs!$D$5,Inputs!$D$4,0))*(1+Inputs!$D$2*MAX(E285,F285*Inputs!$D$3))</f>
        <v>362.16</v>
      </c>
    </row>
    <row r="286" customFormat="false" ht="15" hidden="false" customHeight="false" outlineLevel="0" collapsed="false">
      <c r="A286" s="16" t="n">
        <v>45758</v>
      </c>
      <c r="B286" s="8" t="str">
        <f aca="false">TEXT(A286,"yyyy-mm")</f>
        <v>2025-04</v>
      </c>
      <c r="C286" s="17" t="n">
        <v>402.4</v>
      </c>
      <c r="D286" s="8"/>
      <c r="E286" s="8" t="n">
        <v>0</v>
      </c>
      <c r="F286" s="8" t="n">
        <v>0</v>
      </c>
      <c r="G286" s="18" t="n">
        <f aca="false">C286*(1+IF(A286&gt;=Inputs!$B$5,Inputs!$B$4,0))*(1+Inputs!$B$2*MAX(E286,F286*Inputs!$B$3))</f>
        <v>402.4</v>
      </c>
      <c r="H286" s="18" t="n">
        <f aca="false">C286*(1+IF(A286&gt;=Inputs!$C$5,Inputs!$C$4,0))*(1+Inputs!$C$2*MAX(E286,F286*Inputs!$C$3))</f>
        <v>402.4</v>
      </c>
      <c r="I286" s="18" t="n">
        <f aca="false">C286*(1+IF(A286&gt;=Inputs!$D$5,Inputs!$D$4,0))*(1+Inputs!$D$2*MAX(E286,F286*Inputs!$D$3))</f>
        <v>362.16</v>
      </c>
    </row>
    <row r="287" customFormat="false" ht="15" hidden="false" customHeight="false" outlineLevel="0" collapsed="false">
      <c r="A287" s="16" t="n">
        <v>45759</v>
      </c>
      <c r="B287" s="8" t="str">
        <f aca="false">TEXT(A287,"yyyy-mm")</f>
        <v>2025-04</v>
      </c>
      <c r="C287" s="17" t="n">
        <v>402.4</v>
      </c>
      <c r="D287" s="8"/>
      <c r="E287" s="8" t="n">
        <v>0</v>
      </c>
      <c r="F287" s="8" t="n">
        <v>0</v>
      </c>
      <c r="G287" s="18" t="n">
        <f aca="false">C287*(1+IF(A287&gt;=Inputs!$B$5,Inputs!$B$4,0))*(1+Inputs!$B$2*MAX(E287,F287*Inputs!$B$3))</f>
        <v>402.4</v>
      </c>
      <c r="H287" s="18" t="n">
        <f aca="false">C287*(1+IF(A287&gt;=Inputs!$C$5,Inputs!$C$4,0))*(1+Inputs!$C$2*MAX(E287,F287*Inputs!$C$3))</f>
        <v>402.4</v>
      </c>
      <c r="I287" s="18" t="n">
        <f aca="false">C287*(1+IF(A287&gt;=Inputs!$D$5,Inputs!$D$4,0))*(1+Inputs!$D$2*MAX(E287,F287*Inputs!$D$3))</f>
        <v>362.16</v>
      </c>
    </row>
    <row r="288" customFormat="false" ht="15" hidden="false" customHeight="false" outlineLevel="0" collapsed="false">
      <c r="A288" s="16" t="n">
        <v>45760</v>
      </c>
      <c r="B288" s="8" t="str">
        <f aca="false">TEXT(A288,"yyyy-mm")</f>
        <v>2025-04</v>
      </c>
      <c r="C288" s="17" t="n">
        <v>402.4</v>
      </c>
      <c r="D288" s="8"/>
      <c r="E288" s="8" t="n">
        <v>0</v>
      </c>
      <c r="F288" s="8" t="n">
        <v>0</v>
      </c>
      <c r="G288" s="18" t="n">
        <f aca="false">C288*(1+IF(A288&gt;=Inputs!$B$5,Inputs!$B$4,0))*(1+Inputs!$B$2*MAX(E288,F288*Inputs!$B$3))</f>
        <v>402.4</v>
      </c>
      <c r="H288" s="18" t="n">
        <f aca="false">C288*(1+IF(A288&gt;=Inputs!$C$5,Inputs!$C$4,0))*(1+Inputs!$C$2*MAX(E288,F288*Inputs!$C$3))</f>
        <v>402.4</v>
      </c>
      <c r="I288" s="18" t="n">
        <f aca="false">C288*(1+IF(A288&gt;=Inputs!$D$5,Inputs!$D$4,0))*(1+Inputs!$D$2*MAX(E288,F288*Inputs!$D$3))</f>
        <v>362.16</v>
      </c>
    </row>
    <row r="289" customFormat="false" ht="15" hidden="false" customHeight="false" outlineLevel="0" collapsed="false">
      <c r="A289" s="16" t="n">
        <v>45761</v>
      </c>
      <c r="B289" s="8" t="str">
        <f aca="false">TEXT(A289,"yyyy-mm")</f>
        <v>2025-04</v>
      </c>
      <c r="C289" s="17" t="n">
        <v>402.4</v>
      </c>
      <c r="D289" s="8"/>
      <c r="E289" s="8" t="n">
        <v>0</v>
      </c>
      <c r="F289" s="8" t="n">
        <v>0</v>
      </c>
      <c r="G289" s="18" t="n">
        <f aca="false">C289*(1+IF(A289&gt;=Inputs!$B$5,Inputs!$B$4,0))*(1+Inputs!$B$2*MAX(E289,F289*Inputs!$B$3))</f>
        <v>402.4</v>
      </c>
      <c r="H289" s="18" t="n">
        <f aca="false">C289*(1+IF(A289&gt;=Inputs!$C$5,Inputs!$C$4,0))*(1+Inputs!$C$2*MAX(E289,F289*Inputs!$C$3))</f>
        <v>402.4</v>
      </c>
      <c r="I289" s="18" t="n">
        <f aca="false">C289*(1+IF(A289&gt;=Inputs!$D$5,Inputs!$D$4,0))*(1+Inputs!$D$2*MAX(E289,F289*Inputs!$D$3))</f>
        <v>362.16</v>
      </c>
    </row>
    <row r="290" customFormat="false" ht="15" hidden="false" customHeight="false" outlineLevel="0" collapsed="false">
      <c r="A290" s="16" t="n">
        <v>45762</v>
      </c>
      <c r="B290" s="8" t="str">
        <f aca="false">TEXT(A290,"yyyy-mm")</f>
        <v>2025-04</v>
      </c>
      <c r="C290" s="17" t="n">
        <v>402.4</v>
      </c>
      <c r="D290" s="8"/>
      <c r="E290" s="8" t="n">
        <v>0</v>
      </c>
      <c r="F290" s="8" t="n">
        <v>0</v>
      </c>
      <c r="G290" s="18" t="n">
        <f aca="false">C290*(1+IF(A290&gt;=Inputs!$B$5,Inputs!$B$4,0))*(1+Inputs!$B$2*MAX(E290,F290*Inputs!$B$3))</f>
        <v>402.4</v>
      </c>
      <c r="H290" s="18" t="n">
        <f aca="false">C290*(1+IF(A290&gt;=Inputs!$C$5,Inputs!$C$4,0))*(1+Inputs!$C$2*MAX(E290,F290*Inputs!$C$3))</f>
        <v>402.4</v>
      </c>
      <c r="I290" s="18" t="n">
        <f aca="false">C290*(1+IF(A290&gt;=Inputs!$D$5,Inputs!$D$4,0))*(1+Inputs!$D$2*MAX(E290,F290*Inputs!$D$3))</f>
        <v>362.16</v>
      </c>
    </row>
    <row r="291" customFormat="false" ht="15" hidden="false" customHeight="false" outlineLevel="0" collapsed="false">
      <c r="A291" s="16" t="n">
        <v>45763</v>
      </c>
      <c r="B291" s="8" t="str">
        <f aca="false">TEXT(A291,"yyyy-mm")</f>
        <v>2025-04</v>
      </c>
      <c r="C291" s="17" t="n">
        <v>402.4</v>
      </c>
      <c r="D291" s="8"/>
      <c r="E291" s="8" t="n">
        <v>0</v>
      </c>
      <c r="F291" s="8" t="n">
        <v>0</v>
      </c>
      <c r="G291" s="18" t="n">
        <f aca="false">C291*(1+IF(A291&gt;=Inputs!$B$5,Inputs!$B$4,0))*(1+Inputs!$B$2*MAX(E291,F291*Inputs!$B$3))</f>
        <v>402.4</v>
      </c>
      <c r="H291" s="18" t="n">
        <f aca="false">C291*(1+IF(A291&gt;=Inputs!$C$5,Inputs!$C$4,0))*(1+Inputs!$C$2*MAX(E291,F291*Inputs!$C$3))</f>
        <v>402.4</v>
      </c>
      <c r="I291" s="18" t="n">
        <f aca="false">C291*(1+IF(A291&gt;=Inputs!$D$5,Inputs!$D$4,0))*(1+Inputs!$D$2*MAX(E291,F291*Inputs!$D$3))</f>
        <v>362.16</v>
      </c>
    </row>
    <row r="292" customFormat="false" ht="15" hidden="false" customHeight="false" outlineLevel="0" collapsed="false">
      <c r="A292" s="16" t="n">
        <v>45764</v>
      </c>
      <c r="B292" s="8" t="str">
        <f aca="false">TEXT(A292,"yyyy-mm")</f>
        <v>2025-04</v>
      </c>
      <c r="C292" s="17" t="n">
        <v>402.4</v>
      </c>
      <c r="D292" s="8"/>
      <c r="E292" s="8" t="n">
        <v>0</v>
      </c>
      <c r="F292" s="8" t="n">
        <v>0</v>
      </c>
      <c r="G292" s="18" t="n">
        <f aca="false">C292*(1+IF(A292&gt;=Inputs!$B$5,Inputs!$B$4,0))*(1+Inputs!$B$2*MAX(E292,F292*Inputs!$B$3))</f>
        <v>402.4</v>
      </c>
      <c r="H292" s="18" t="n">
        <f aca="false">C292*(1+IF(A292&gt;=Inputs!$C$5,Inputs!$C$4,0))*(1+Inputs!$C$2*MAX(E292,F292*Inputs!$C$3))</f>
        <v>402.4</v>
      </c>
      <c r="I292" s="18" t="n">
        <f aca="false">C292*(1+IF(A292&gt;=Inputs!$D$5,Inputs!$D$4,0))*(1+Inputs!$D$2*MAX(E292,F292*Inputs!$D$3))</f>
        <v>362.16</v>
      </c>
    </row>
    <row r="293" customFormat="false" ht="15" hidden="false" customHeight="false" outlineLevel="0" collapsed="false">
      <c r="A293" s="16" t="n">
        <v>45765</v>
      </c>
      <c r="B293" s="8" t="str">
        <f aca="false">TEXT(A293,"yyyy-mm")</f>
        <v>2025-04</v>
      </c>
      <c r="C293" s="17" t="n">
        <v>402.4</v>
      </c>
      <c r="D293" s="8"/>
      <c r="E293" s="8" t="n">
        <v>0</v>
      </c>
      <c r="F293" s="8" t="n">
        <v>0</v>
      </c>
      <c r="G293" s="18" t="n">
        <f aca="false">C293*(1+IF(A293&gt;=Inputs!$B$5,Inputs!$B$4,0))*(1+Inputs!$B$2*MAX(E293,F293*Inputs!$B$3))</f>
        <v>402.4</v>
      </c>
      <c r="H293" s="18" t="n">
        <f aca="false">C293*(1+IF(A293&gt;=Inputs!$C$5,Inputs!$C$4,0))*(1+Inputs!$C$2*MAX(E293,F293*Inputs!$C$3))</f>
        <v>402.4</v>
      </c>
      <c r="I293" s="18" t="n">
        <f aca="false">C293*(1+IF(A293&gt;=Inputs!$D$5,Inputs!$D$4,0))*(1+Inputs!$D$2*MAX(E293,F293*Inputs!$D$3))</f>
        <v>362.16</v>
      </c>
    </row>
    <row r="294" customFormat="false" ht="15" hidden="false" customHeight="false" outlineLevel="0" collapsed="false">
      <c r="A294" s="16" t="n">
        <v>45766</v>
      </c>
      <c r="B294" s="8" t="str">
        <f aca="false">TEXT(A294,"yyyy-mm")</f>
        <v>2025-04</v>
      </c>
      <c r="C294" s="17" t="n">
        <v>402.4</v>
      </c>
      <c r="D294" s="8"/>
      <c r="E294" s="8" t="n">
        <v>0</v>
      </c>
      <c r="F294" s="8" t="n">
        <v>0</v>
      </c>
      <c r="G294" s="18" t="n">
        <f aca="false">C294*(1+IF(A294&gt;=Inputs!$B$5,Inputs!$B$4,0))*(1+Inputs!$B$2*MAX(E294,F294*Inputs!$B$3))</f>
        <v>402.4</v>
      </c>
      <c r="H294" s="18" t="n">
        <f aca="false">C294*(1+IF(A294&gt;=Inputs!$C$5,Inputs!$C$4,0))*(1+Inputs!$C$2*MAX(E294,F294*Inputs!$C$3))</f>
        <v>402.4</v>
      </c>
      <c r="I294" s="18" t="n">
        <f aca="false">C294*(1+IF(A294&gt;=Inputs!$D$5,Inputs!$D$4,0))*(1+Inputs!$D$2*MAX(E294,F294*Inputs!$D$3))</f>
        <v>362.16</v>
      </c>
    </row>
    <row r="295" customFormat="false" ht="15" hidden="false" customHeight="false" outlineLevel="0" collapsed="false">
      <c r="A295" s="16" t="n">
        <v>45767</v>
      </c>
      <c r="B295" s="8" t="str">
        <f aca="false">TEXT(A295,"yyyy-mm")</f>
        <v>2025-04</v>
      </c>
      <c r="C295" s="17" t="n">
        <v>402.4</v>
      </c>
      <c r="D295" s="8"/>
      <c r="E295" s="8" t="n">
        <v>0</v>
      </c>
      <c r="F295" s="8" t="n">
        <v>0</v>
      </c>
      <c r="G295" s="18" t="n">
        <f aca="false">C295*(1+IF(A295&gt;=Inputs!$B$5,Inputs!$B$4,0))*(1+Inputs!$B$2*MAX(E295,F295*Inputs!$B$3))</f>
        <v>402.4</v>
      </c>
      <c r="H295" s="18" t="n">
        <f aca="false">C295*(1+IF(A295&gt;=Inputs!$C$5,Inputs!$C$4,0))*(1+Inputs!$C$2*MAX(E295,F295*Inputs!$C$3))</f>
        <v>402.4</v>
      </c>
      <c r="I295" s="18" t="n">
        <f aca="false">C295*(1+IF(A295&gt;=Inputs!$D$5,Inputs!$D$4,0))*(1+Inputs!$D$2*MAX(E295,F295*Inputs!$D$3))</f>
        <v>362.16</v>
      </c>
    </row>
    <row r="296" customFormat="false" ht="15" hidden="false" customHeight="false" outlineLevel="0" collapsed="false">
      <c r="A296" s="16" t="n">
        <v>45768</v>
      </c>
      <c r="B296" s="8" t="str">
        <f aca="false">TEXT(A296,"yyyy-mm")</f>
        <v>2025-04</v>
      </c>
      <c r="C296" s="17" t="n">
        <v>402.4</v>
      </c>
      <c r="D296" s="8"/>
      <c r="E296" s="8" t="n">
        <v>0</v>
      </c>
      <c r="F296" s="8" t="n">
        <v>0</v>
      </c>
      <c r="G296" s="18" t="n">
        <f aca="false">C296*(1+IF(A296&gt;=Inputs!$B$5,Inputs!$B$4,0))*(1+Inputs!$B$2*MAX(E296,F296*Inputs!$B$3))</f>
        <v>402.4</v>
      </c>
      <c r="H296" s="18" t="n">
        <f aca="false">C296*(1+IF(A296&gt;=Inputs!$C$5,Inputs!$C$4,0))*(1+Inputs!$C$2*MAX(E296,F296*Inputs!$C$3))</f>
        <v>402.4</v>
      </c>
      <c r="I296" s="18" t="n">
        <f aca="false">C296*(1+IF(A296&gt;=Inputs!$D$5,Inputs!$D$4,0))*(1+Inputs!$D$2*MAX(E296,F296*Inputs!$D$3))</f>
        <v>362.16</v>
      </c>
    </row>
    <row r="297" customFormat="false" ht="15" hidden="false" customHeight="false" outlineLevel="0" collapsed="false">
      <c r="A297" s="16" t="n">
        <v>45769</v>
      </c>
      <c r="B297" s="8" t="str">
        <f aca="false">TEXT(A297,"yyyy-mm")</f>
        <v>2025-04</v>
      </c>
      <c r="C297" s="17" t="n">
        <v>402.4</v>
      </c>
      <c r="D297" s="8"/>
      <c r="E297" s="8" t="n">
        <v>0</v>
      </c>
      <c r="F297" s="8" t="n">
        <v>0</v>
      </c>
      <c r="G297" s="18" t="n">
        <f aca="false">C297*(1+IF(A297&gt;=Inputs!$B$5,Inputs!$B$4,0))*(1+Inputs!$B$2*MAX(E297,F297*Inputs!$B$3))</f>
        <v>402.4</v>
      </c>
      <c r="H297" s="18" t="n">
        <f aca="false">C297*(1+IF(A297&gt;=Inputs!$C$5,Inputs!$C$4,0))*(1+Inputs!$C$2*MAX(E297,F297*Inputs!$C$3))</f>
        <v>402.4</v>
      </c>
      <c r="I297" s="18" t="n">
        <f aca="false">C297*(1+IF(A297&gt;=Inputs!$D$5,Inputs!$D$4,0))*(1+Inputs!$D$2*MAX(E297,F297*Inputs!$D$3))</f>
        <v>362.16</v>
      </c>
    </row>
    <row r="298" customFormat="false" ht="15" hidden="false" customHeight="false" outlineLevel="0" collapsed="false">
      <c r="A298" s="16" t="n">
        <v>45770</v>
      </c>
      <c r="B298" s="8" t="str">
        <f aca="false">TEXT(A298,"yyyy-mm")</f>
        <v>2025-04</v>
      </c>
      <c r="C298" s="17" t="n">
        <v>402.4</v>
      </c>
      <c r="D298" s="8"/>
      <c r="E298" s="8" t="n">
        <v>0</v>
      </c>
      <c r="F298" s="8" t="n">
        <v>0</v>
      </c>
      <c r="G298" s="18" t="n">
        <f aca="false">C298*(1+IF(A298&gt;=Inputs!$B$5,Inputs!$B$4,0))*(1+Inputs!$B$2*MAX(E298,F298*Inputs!$B$3))</f>
        <v>402.4</v>
      </c>
      <c r="H298" s="18" t="n">
        <f aca="false">C298*(1+IF(A298&gt;=Inputs!$C$5,Inputs!$C$4,0))*(1+Inputs!$C$2*MAX(E298,F298*Inputs!$C$3))</f>
        <v>402.4</v>
      </c>
      <c r="I298" s="18" t="n">
        <f aca="false">C298*(1+IF(A298&gt;=Inputs!$D$5,Inputs!$D$4,0))*(1+Inputs!$D$2*MAX(E298,F298*Inputs!$D$3))</f>
        <v>362.16</v>
      </c>
    </row>
    <row r="299" customFormat="false" ht="15" hidden="false" customHeight="false" outlineLevel="0" collapsed="false">
      <c r="A299" s="16" t="n">
        <v>45771</v>
      </c>
      <c r="B299" s="8" t="str">
        <f aca="false">TEXT(A299,"yyyy-mm")</f>
        <v>2025-04</v>
      </c>
      <c r="C299" s="17" t="n">
        <v>402.4</v>
      </c>
      <c r="D299" s="8"/>
      <c r="E299" s="8" t="n">
        <v>0</v>
      </c>
      <c r="F299" s="8" t="n">
        <v>0</v>
      </c>
      <c r="G299" s="18" t="n">
        <f aca="false">C299*(1+IF(A299&gt;=Inputs!$B$5,Inputs!$B$4,0))*(1+Inputs!$B$2*MAX(E299,F299*Inputs!$B$3))</f>
        <v>402.4</v>
      </c>
      <c r="H299" s="18" t="n">
        <f aca="false">C299*(1+IF(A299&gt;=Inputs!$C$5,Inputs!$C$4,0))*(1+Inputs!$C$2*MAX(E299,F299*Inputs!$C$3))</f>
        <v>402.4</v>
      </c>
      <c r="I299" s="18" t="n">
        <f aca="false">C299*(1+IF(A299&gt;=Inputs!$D$5,Inputs!$D$4,0))*(1+Inputs!$D$2*MAX(E299,F299*Inputs!$D$3))</f>
        <v>362.16</v>
      </c>
    </row>
    <row r="300" customFormat="false" ht="15" hidden="false" customHeight="false" outlineLevel="0" collapsed="false">
      <c r="A300" s="16" t="n">
        <v>45772</v>
      </c>
      <c r="B300" s="8" t="str">
        <f aca="false">TEXT(A300,"yyyy-mm")</f>
        <v>2025-04</v>
      </c>
      <c r="C300" s="17" t="n">
        <v>402.4</v>
      </c>
      <c r="D300" s="8"/>
      <c r="E300" s="8" t="n">
        <v>0</v>
      </c>
      <c r="F300" s="8" t="n">
        <v>0</v>
      </c>
      <c r="G300" s="18" t="n">
        <f aca="false">C300*(1+IF(A300&gt;=Inputs!$B$5,Inputs!$B$4,0))*(1+Inputs!$B$2*MAX(E300,F300*Inputs!$B$3))</f>
        <v>402.4</v>
      </c>
      <c r="H300" s="18" t="n">
        <f aca="false">C300*(1+IF(A300&gt;=Inputs!$C$5,Inputs!$C$4,0))*(1+Inputs!$C$2*MAX(E300,F300*Inputs!$C$3))</f>
        <v>402.4</v>
      </c>
      <c r="I300" s="18" t="n">
        <f aca="false">C300*(1+IF(A300&gt;=Inputs!$D$5,Inputs!$D$4,0))*(1+Inputs!$D$2*MAX(E300,F300*Inputs!$D$3))</f>
        <v>362.16</v>
      </c>
    </row>
    <row r="301" customFormat="false" ht="15" hidden="false" customHeight="false" outlineLevel="0" collapsed="false">
      <c r="A301" s="16" t="n">
        <v>45773</v>
      </c>
      <c r="B301" s="8" t="str">
        <f aca="false">TEXT(A301,"yyyy-mm")</f>
        <v>2025-04</v>
      </c>
      <c r="C301" s="17" t="n">
        <v>402.4</v>
      </c>
      <c r="D301" s="8"/>
      <c r="E301" s="8" t="n">
        <v>0</v>
      </c>
      <c r="F301" s="8" t="n">
        <v>0</v>
      </c>
      <c r="G301" s="18" t="n">
        <f aca="false">C301*(1+IF(A301&gt;=Inputs!$B$5,Inputs!$B$4,0))*(1+Inputs!$B$2*MAX(E301,F301*Inputs!$B$3))</f>
        <v>402.4</v>
      </c>
      <c r="H301" s="18" t="n">
        <f aca="false">C301*(1+IF(A301&gt;=Inputs!$C$5,Inputs!$C$4,0))*(1+Inputs!$C$2*MAX(E301,F301*Inputs!$C$3))</f>
        <v>402.4</v>
      </c>
      <c r="I301" s="18" t="n">
        <f aca="false">C301*(1+IF(A301&gt;=Inputs!$D$5,Inputs!$D$4,0))*(1+Inputs!$D$2*MAX(E301,F301*Inputs!$D$3))</f>
        <v>362.16</v>
      </c>
    </row>
    <row r="302" customFormat="false" ht="15" hidden="false" customHeight="false" outlineLevel="0" collapsed="false">
      <c r="A302" s="16" t="n">
        <v>45774</v>
      </c>
      <c r="B302" s="8" t="str">
        <f aca="false">TEXT(A302,"yyyy-mm")</f>
        <v>2025-04</v>
      </c>
      <c r="C302" s="17" t="n">
        <v>402.4</v>
      </c>
      <c r="D302" s="8"/>
      <c r="E302" s="8" t="n">
        <v>0</v>
      </c>
      <c r="F302" s="8" t="n">
        <v>0</v>
      </c>
      <c r="G302" s="18" t="n">
        <f aca="false">C302*(1+IF(A302&gt;=Inputs!$B$5,Inputs!$B$4,0))*(1+Inputs!$B$2*MAX(E302,F302*Inputs!$B$3))</f>
        <v>402.4</v>
      </c>
      <c r="H302" s="18" t="n">
        <f aca="false">C302*(1+IF(A302&gt;=Inputs!$C$5,Inputs!$C$4,0))*(1+Inputs!$C$2*MAX(E302,F302*Inputs!$C$3))</f>
        <v>402.4</v>
      </c>
      <c r="I302" s="18" t="n">
        <f aca="false">C302*(1+IF(A302&gt;=Inputs!$D$5,Inputs!$D$4,0))*(1+Inputs!$D$2*MAX(E302,F302*Inputs!$D$3))</f>
        <v>362.16</v>
      </c>
    </row>
    <row r="303" customFormat="false" ht="15" hidden="false" customHeight="false" outlineLevel="0" collapsed="false">
      <c r="A303" s="16" t="n">
        <v>45775</v>
      </c>
      <c r="B303" s="8" t="str">
        <f aca="false">TEXT(A303,"yyyy-mm")</f>
        <v>2025-04</v>
      </c>
      <c r="C303" s="17" t="n">
        <v>402.4</v>
      </c>
      <c r="D303" s="8"/>
      <c r="E303" s="8" t="n">
        <v>0</v>
      </c>
      <c r="F303" s="8" t="n">
        <v>0</v>
      </c>
      <c r="G303" s="18" t="n">
        <f aca="false">C303*(1+IF(A303&gt;=Inputs!$B$5,Inputs!$B$4,0))*(1+Inputs!$B$2*MAX(E303,F303*Inputs!$B$3))</f>
        <v>402.4</v>
      </c>
      <c r="H303" s="18" t="n">
        <f aca="false">C303*(1+IF(A303&gt;=Inputs!$C$5,Inputs!$C$4,0))*(1+Inputs!$C$2*MAX(E303,F303*Inputs!$C$3))</f>
        <v>402.4</v>
      </c>
      <c r="I303" s="18" t="n">
        <f aca="false">C303*(1+IF(A303&gt;=Inputs!$D$5,Inputs!$D$4,0))*(1+Inputs!$D$2*MAX(E303,F303*Inputs!$D$3))</f>
        <v>362.16</v>
      </c>
    </row>
    <row r="304" customFormat="false" ht="15" hidden="false" customHeight="false" outlineLevel="0" collapsed="false">
      <c r="A304" s="16" t="n">
        <v>45776</v>
      </c>
      <c r="B304" s="8" t="str">
        <f aca="false">TEXT(A304,"yyyy-mm")</f>
        <v>2025-04</v>
      </c>
      <c r="C304" s="17" t="n">
        <v>402.4</v>
      </c>
      <c r="D304" s="8"/>
      <c r="E304" s="8" t="n">
        <v>0</v>
      </c>
      <c r="F304" s="8" t="n">
        <v>0</v>
      </c>
      <c r="G304" s="18" t="n">
        <f aca="false">C304*(1+IF(A304&gt;=Inputs!$B$5,Inputs!$B$4,0))*(1+Inputs!$B$2*MAX(E304,F304*Inputs!$B$3))</f>
        <v>402.4</v>
      </c>
      <c r="H304" s="18" t="n">
        <f aca="false">C304*(1+IF(A304&gt;=Inputs!$C$5,Inputs!$C$4,0))*(1+Inputs!$C$2*MAX(E304,F304*Inputs!$C$3))</f>
        <v>402.4</v>
      </c>
      <c r="I304" s="18" t="n">
        <f aca="false">C304*(1+IF(A304&gt;=Inputs!$D$5,Inputs!$D$4,0))*(1+Inputs!$D$2*MAX(E304,F304*Inputs!$D$3))</f>
        <v>362.16</v>
      </c>
    </row>
    <row r="305" customFormat="false" ht="15" hidden="false" customHeight="false" outlineLevel="0" collapsed="false">
      <c r="A305" s="16" t="n">
        <v>45777</v>
      </c>
      <c r="B305" s="8" t="str">
        <f aca="false">TEXT(A305,"yyyy-mm")</f>
        <v>2025-04</v>
      </c>
      <c r="C305" s="17" t="n">
        <v>402.4</v>
      </c>
      <c r="D305" s="8"/>
      <c r="E305" s="8" t="n">
        <v>0</v>
      </c>
      <c r="F305" s="8" t="n">
        <v>0</v>
      </c>
      <c r="G305" s="18" t="n">
        <f aca="false">C305*(1+IF(A305&gt;=Inputs!$B$5,Inputs!$B$4,0))*(1+Inputs!$B$2*MAX(E305,F305*Inputs!$B$3))</f>
        <v>402.4</v>
      </c>
      <c r="H305" s="18" t="n">
        <f aca="false">C305*(1+IF(A305&gt;=Inputs!$C$5,Inputs!$C$4,0))*(1+Inputs!$C$2*MAX(E305,F305*Inputs!$C$3))</f>
        <v>402.4</v>
      </c>
      <c r="I305" s="18" t="n">
        <f aca="false">C305*(1+IF(A305&gt;=Inputs!$D$5,Inputs!$D$4,0))*(1+Inputs!$D$2*MAX(E305,F305*Inputs!$D$3))</f>
        <v>362.16</v>
      </c>
    </row>
    <row r="306" customFormat="false" ht="15" hidden="false" customHeight="false" outlineLevel="0" collapsed="false">
      <c r="A306" s="16" t="n">
        <v>45778</v>
      </c>
      <c r="B306" s="8" t="str">
        <f aca="false">TEXT(A306,"yyyy-mm")</f>
        <v>2025-05</v>
      </c>
      <c r="C306" s="17" t="n">
        <v>402.4</v>
      </c>
      <c r="D306" s="8"/>
      <c r="E306" s="8" t="n">
        <v>0</v>
      </c>
      <c r="F306" s="8" t="n">
        <v>0</v>
      </c>
      <c r="G306" s="18" t="n">
        <f aca="false">C306*(1+IF(A306&gt;=Inputs!$B$5,Inputs!$B$4,0))*(1+Inputs!$B$2*MAX(E306,F306*Inputs!$B$3))</f>
        <v>402.4</v>
      </c>
      <c r="H306" s="18" t="n">
        <f aca="false">C306*(1+IF(A306&gt;=Inputs!$C$5,Inputs!$C$4,0))*(1+Inputs!$C$2*MAX(E306,F306*Inputs!$C$3))</f>
        <v>402.4</v>
      </c>
      <c r="I306" s="18" t="n">
        <f aca="false">C306*(1+IF(A306&gt;=Inputs!$D$5,Inputs!$D$4,0))*(1+Inputs!$D$2*MAX(E306,F306*Inputs!$D$3))</f>
        <v>362.16</v>
      </c>
    </row>
    <row r="307" customFormat="false" ht="15" hidden="false" customHeight="false" outlineLevel="0" collapsed="false">
      <c r="A307" s="16" t="n">
        <v>45779</v>
      </c>
      <c r="B307" s="8" t="str">
        <f aca="false">TEXT(A307,"yyyy-mm")</f>
        <v>2025-05</v>
      </c>
      <c r="C307" s="17" t="n">
        <v>402.4</v>
      </c>
      <c r="D307" s="8"/>
      <c r="E307" s="8" t="n">
        <v>0</v>
      </c>
      <c r="F307" s="8" t="n">
        <v>1</v>
      </c>
      <c r="G307" s="18" t="n">
        <f aca="false">C307*(1+IF(A307&gt;=Inputs!$B$5,Inputs!$B$4,0))*(1+Inputs!$B$2*MAX(E307,F307*Inputs!$B$3))</f>
        <v>402.4</v>
      </c>
      <c r="H307" s="18" t="n">
        <f aca="false">C307*(1+IF(A307&gt;=Inputs!$C$5,Inputs!$C$4,0))*(1+Inputs!$C$2*MAX(E307,F307*Inputs!$C$3))</f>
        <v>603.6</v>
      </c>
      <c r="I307" s="18" t="n">
        <f aca="false">C307*(1+IF(A307&gt;=Inputs!$D$5,Inputs!$D$4,0))*(1+Inputs!$D$2*MAX(E307,F307*Inputs!$D$3))</f>
        <v>362.16</v>
      </c>
    </row>
    <row r="308" customFormat="false" ht="15" hidden="false" customHeight="false" outlineLevel="0" collapsed="false">
      <c r="A308" s="16" t="n">
        <v>45780</v>
      </c>
      <c r="B308" s="8" t="str">
        <f aca="false">TEXT(A308,"yyyy-mm")</f>
        <v>2025-05</v>
      </c>
      <c r="C308" s="17" t="n">
        <v>402.4</v>
      </c>
      <c r="D308" s="8"/>
      <c r="E308" s="8" t="n">
        <v>0</v>
      </c>
      <c r="F308" s="8" t="n">
        <v>1</v>
      </c>
      <c r="G308" s="18" t="n">
        <f aca="false">C308*(1+IF(A308&gt;=Inputs!$B$5,Inputs!$B$4,0))*(1+Inputs!$B$2*MAX(E308,F308*Inputs!$B$3))</f>
        <v>402.4</v>
      </c>
      <c r="H308" s="18" t="n">
        <f aca="false">C308*(1+IF(A308&gt;=Inputs!$C$5,Inputs!$C$4,0))*(1+Inputs!$C$2*MAX(E308,F308*Inputs!$C$3))</f>
        <v>603.6</v>
      </c>
      <c r="I308" s="18" t="n">
        <f aca="false">C308*(1+IF(A308&gt;=Inputs!$D$5,Inputs!$D$4,0))*(1+Inputs!$D$2*MAX(E308,F308*Inputs!$D$3))</f>
        <v>362.16</v>
      </c>
    </row>
    <row r="309" customFormat="false" ht="15" hidden="false" customHeight="false" outlineLevel="0" collapsed="false">
      <c r="A309" s="16" t="n">
        <v>45781</v>
      </c>
      <c r="B309" s="8" t="str">
        <f aca="false">TEXT(A309,"yyyy-mm")</f>
        <v>2025-05</v>
      </c>
      <c r="C309" s="17" t="n">
        <v>402.4</v>
      </c>
      <c r="D309" s="8"/>
      <c r="E309" s="8" t="n">
        <v>0</v>
      </c>
      <c r="F309" s="8" t="n">
        <v>0</v>
      </c>
      <c r="G309" s="18" t="n">
        <f aca="false">C309*(1+IF(A309&gt;=Inputs!$B$5,Inputs!$B$4,0))*(1+Inputs!$B$2*MAX(E309,F309*Inputs!$B$3))</f>
        <v>402.4</v>
      </c>
      <c r="H309" s="18" t="n">
        <f aca="false">C309*(1+IF(A309&gt;=Inputs!$C$5,Inputs!$C$4,0))*(1+Inputs!$C$2*MAX(E309,F309*Inputs!$C$3))</f>
        <v>402.4</v>
      </c>
      <c r="I309" s="18" t="n">
        <f aca="false">C309*(1+IF(A309&gt;=Inputs!$D$5,Inputs!$D$4,0))*(1+Inputs!$D$2*MAX(E309,F309*Inputs!$D$3))</f>
        <v>362.16</v>
      </c>
    </row>
    <row r="310" customFormat="false" ht="15" hidden="false" customHeight="false" outlineLevel="0" collapsed="false">
      <c r="A310" s="16" t="n">
        <v>45782</v>
      </c>
      <c r="B310" s="8" t="str">
        <f aca="false">TEXT(A310,"yyyy-mm")</f>
        <v>2025-05</v>
      </c>
      <c r="C310" s="17" t="n">
        <v>402.4</v>
      </c>
      <c r="D310" s="8"/>
      <c r="E310" s="8" t="n">
        <v>0</v>
      </c>
      <c r="F310" s="8" t="n">
        <v>0</v>
      </c>
      <c r="G310" s="18" t="n">
        <f aca="false">C310*(1+IF(A310&gt;=Inputs!$B$5,Inputs!$B$4,0))*(1+Inputs!$B$2*MAX(E310,F310*Inputs!$B$3))</f>
        <v>402.4</v>
      </c>
      <c r="H310" s="18" t="n">
        <f aca="false">C310*(1+IF(A310&gt;=Inputs!$C$5,Inputs!$C$4,0))*(1+Inputs!$C$2*MAX(E310,F310*Inputs!$C$3))</f>
        <v>402.4</v>
      </c>
      <c r="I310" s="18" t="n">
        <f aca="false">C310*(1+IF(A310&gt;=Inputs!$D$5,Inputs!$D$4,0))*(1+Inputs!$D$2*MAX(E310,F310*Inputs!$D$3))</f>
        <v>362.16</v>
      </c>
    </row>
    <row r="311" customFormat="false" ht="15" hidden="false" customHeight="false" outlineLevel="0" collapsed="false">
      <c r="A311" s="16" t="n">
        <v>45783</v>
      </c>
      <c r="B311" s="8" t="str">
        <f aca="false">TEXT(A311,"yyyy-mm")</f>
        <v>2025-05</v>
      </c>
      <c r="C311" s="17" t="n">
        <v>402.4</v>
      </c>
      <c r="D311" s="8"/>
      <c r="E311" s="8" t="n">
        <v>0</v>
      </c>
      <c r="F311" s="8" t="n">
        <v>0</v>
      </c>
      <c r="G311" s="18" t="n">
        <f aca="false">C311*(1+IF(A311&gt;=Inputs!$B$5,Inputs!$B$4,0))*(1+Inputs!$B$2*MAX(E311,F311*Inputs!$B$3))</f>
        <v>402.4</v>
      </c>
      <c r="H311" s="18" t="n">
        <f aca="false">C311*(1+IF(A311&gt;=Inputs!$C$5,Inputs!$C$4,0))*(1+Inputs!$C$2*MAX(E311,F311*Inputs!$C$3))</f>
        <v>402.4</v>
      </c>
      <c r="I311" s="18" t="n">
        <f aca="false">C311*(1+IF(A311&gt;=Inputs!$D$5,Inputs!$D$4,0))*(1+Inputs!$D$2*MAX(E311,F311*Inputs!$D$3))</f>
        <v>362.16</v>
      </c>
    </row>
    <row r="312" customFormat="false" ht="15" hidden="false" customHeight="false" outlineLevel="0" collapsed="false">
      <c r="A312" s="16" t="n">
        <v>45784</v>
      </c>
      <c r="B312" s="8" t="str">
        <f aca="false">TEXT(A312,"yyyy-mm")</f>
        <v>2025-05</v>
      </c>
      <c r="C312" s="17" t="n">
        <v>402.4</v>
      </c>
      <c r="D312" s="8"/>
      <c r="E312" s="8" t="n">
        <v>0</v>
      </c>
      <c r="F312" s="8" t="n">
        <v>0</v>
      </c>
      <c r="G312" s="18" t="n">
        <f aca="false">C312*(1+IF(A312&gt;=Inputs!$B$5,Inputs!$B$4,0))*(1+Inputs!$B$2*MAX(E312,F312*Inputs!$B$3))</f>
        <v>402.4</v>
      </c>
      <c r="H312" s="18" t="n">
        <f aca="false">C312*(1+IF(A312&gt;=Inputs!$C$5,Inputs!$C$4,0))*(1+Inputs!$C$2*MAX(E312,F312*Inputs!$C$3))</f>
        <v>402.4</v>
      </c>
      <c r="I312" s="18" t="n">
        <f aca="false">C312*(1+IF(A312&gt;=Inputs!$D$5,Inputs!$D$4,0))*(1+Inputs!$D$2*MAX(E312,F312*Inputs!$D$3))</f>
        <v>362.16</v>
      </c>
    </row>
    <row r="313" customFormat="false" ht="15" hidden="false" customHeight="false" outlineLevel="0" collapsed="false">
      <c r="A313" s="16" t="n">
        <v>45785</v>
      </c>
      <c r="B313" s="8" t="str">
        <f aca="false">TEXT(A313,"yyyy-mm")</f>
        <v>2025-05</v>
      </c>
      <c r="C313" s="17" t="n">
        <v>402.4</v>
      </c>
      <c r="D313" s="8"/>
      <c r="E313" s="8" t="n">
        <v>0</v>
      </c>
      <c r="F313" s="8" t="n">
        <v>0</v>
      </c>
      <c r="G313" s="18" t="n">
        <f aca="false">C313*(1+IF(A313&gt;=Inputs!$B$5,Inputs!$B$4,0))*(1+Inputs!$B$2*MAX(E313,F313*Inputs!$B$3))</f>
        <v>402.4</v>
      </c>
      <c r="H313" s="18" t="n">
        <f aca="false">C313*(1+IF(A313&gt;=Inputs!$C$5,Inputs!$C$4,0))*(1+Inputs!$C$2*MAX(E313,F313*Inputs!$C$3))</f>
        <v>402.4</v>
      </c>
      <c r="I313" s="18" t="n">
        <f aca="false">C313*(1+IF(A313&gt;=Inputs!$D$5,Inputs!$D$4,0))*(1+Inputs!$D$2*MAX(E313,F313*Inputs!$D$3))</f>
        <v>362.16</v>
      </c>
    </row>
    <row r="314" customFormat="false" ht="15" hidden="false" customHeight="false" outlineLevel="0" collapsed="false">
      <c r="A314" s="16" t="n">
        <v>45786</v>
      </c>
      <c r="B314" s="8" t="str">
        <f aca="false">TEXT(A314,"yyyy-mm")</f>
        <v>2025-05</v>
      </c>
      <c r="C314" s="17" t="n">
        <v>402.4</v>
      </c>
      <c r="D314" s="8"/>
      <c r="E314" s="8" t="n">
        <v>0</v>
      </c>
      <c r="F314" s="8" t="n">
        <v>0</v>
      </c>
      <c r="G314" s="18" t="n">
        <f aca="false">C314*(1+IF(A314&gt;=Inputs!$B$5,Inputs!$B$4,0))*(1+Inputs!$B$2*MAX(E314,F314*Inputs!$B$3))</f>
        <v>402.4</v>
      </c>
      <c r="H314" s="18" t="n">
        <f aca="false">C314*(1+IF(A314&gt;=Inputs!$C$5,Inputs!$C$4,0))*(1+Inputs!$C$2*MAX(E314,F314*Inputs!$C$3))</f>
        <v>402.4</v>
      </c>
      <c r="I314" s="18" t="n">
        <f aca="false">C314*(1+IF(A314&gt;=Inputs!$D$5,Inputs!$D$4,0))*(1+Inputs!$D$2*MAX(E314,F314*Inputs!$D$3))</f>
        <v>362.16</v>
      </c>
    </row>
    <row r="315" customFormat="false" ht="15" hidden="false" customHeight="false" outlineLevel="0" collapsed="false">
      <c r="A315" s="16" t="n">
        <v>45787</v>
      </c>
      <c r="B315" s="8" t="str">
        <f aca="false">TEXT(A315,"yyyy-mm")</f>
        <v>2025-05</v>
      </c>
      <c r="C315" s="17" t="n">
        <v>402.4</v>
      </c>
      <c r="D315" s="8"/>
      <c r="E315" s="8" t="n">
        <v>0</v>
      </c>
      <c r="F315" s="8" t="n">
        <v>0</v>
      </c>
      <c r="G315" s="18" t="n">
        <f aca="false">C315*(1+IF(A315&gt;=Inputs!$B$5,Inputs!$B$4,0))*(1+Inputs!$B$2*MAX(E315,F315*Inputs!$B$3))</f>
        <v>402.4</v>
      </c>
      <c r="H315" s="18" t="n">
        <f aca="false">C315*(1+IF(A315&gt;=Inputs!$C$5,Inputs!$C$4,0))*(1+Inputs!$C$2*MAX(E315,F315*Inputs!$C$3))</f>
        <v>402.4</v>
      </c>
      <c r="I315" s="18" t="n">
        <f aca="false">C315*(1+IF(A315&gt;=Inputs!$D$5,Inputs!$D$4,0))*(1+Inputs!$D$2*MAX(E315,F315*Inputs!$D$3))</f>
        <v>362.16</v>
      </c>
    </row>
    <row r="316" customFormat="false" ht="15" hidden="false" customHeight="false" outlineLevel="0" collapsed="false">
      <c r="A316" s="16" t="n">
        <v>45788</v>
      </c>
      <c r="B316" s="8" t="str">
        <f aca="false">TEXT(A316,"yyyy-mm")</f>
        <v>2025-05</v>
      </c>
      <c r="C316" s="17" t="n">
        <v>402.4</v>
      </c>
      <c r="D316" s="8"/>
      <c r="E316" s="8" t="n">
        <v>0</v>
      </c>
      <c r="F316" s="8" t="n">
        <v>0</v>
      </c>
      <c r="G316" s="18" t="n">
        <f aca="false">C316*(1+IF(A316&gt;=Inputs!$B$5,Inputs!$B$4,0))*(1+Inputs!$B$2*MAX(E316,F316*Inputs!$B$3))</f>
        <v>402.4</v>
      </c>
      <c r="H316" s="18" t="n">
        <f aca="false">C316*(1+IF(A316&gt;=Inputs!$C$5,Inputs!$C$4,0))*(1+Inputs!$C$2*MAX(E316,F316*Inputs!$C$3))</f>
        <v>402.4</v>
      </c>
      <c r="I316" s="18" t="n">
        <f aca="false">C316*(1+IF(A316&gt;=Inputs!$D$5,Inputs!$D$4,0))*(1+Inputs!$D$2*MAX(E316,F316*Inputs!$D$3))</f>
        <v>362.16</v>
      </c>
    </row>
    <row r="317" customFormat="false" ht="15" hidden="false" customHeight="false" outlineLevel="0" collapsed="false">
      <c r="A317" s="16" t="n">
        <v>45789</v>
      </c>
      <c r="B317" s="8" t="str">
        <f aca="false">TEXT(A317,"yyyy-mm")</f>
        <v>2025-05</v>
      </c>
      <c r="C317" s="17" t="n">
        <v>402.4</v>
      </c>
      <c r="D317" s="8"/>
      <c r="E317" s="8" t="n">
        <v>0</v>
      </c>
      <c r="F317" s="8" t="n">
        <v>0</v>
      </c>
      <c r="G317" s="18" t="n">
        <f aca="false">C317*(1+IF(A317&gt;=Inputs!$B$5,Inputs!$B$4,0))*(1+Inputs!$B$2*MAX(E317,F317*Inputs!$B$3))</f>
        <v>402.4</v>
      </c>
      <c r="H317" s="18" t="n">
        <f aca="false">C317*(1+IF(A317&gt;=Inputs!$C$5,Inputs!$C$4,0))*(1+Inputs!$C$2*MAX(E317,F317*Inputs!$C$3))</f>
        <v>402.4</v>
      </c>
      <c r="I317" s="18" t="n">
        <f aca="false">C317*(1+IF(A317&gt;=Inputs!$D$5,Inputs!$D$4,0))*(1+Inputs!$D$2*MAX(E317,F317*Inputs!$D$3))</f>
        <v>362.16</v>
      </c>
    </row>
    <row r="318" customFormat="false" ht="15" hidden="false" customHeight="false" outlineLevel="0" collapsed="false">
      <c r="A318" s="16" t="n">
        <v>45790</v>
      </c>
      <c r="B318" s="8" t="str">
        <f aca="false">TEXT(A318,"yyyy-mm")</f>
        <v>2025-05</v>
      </c>
      <c r="C318" s="17" t="n">
        <v>402.4</v>
      </c>
      <c r="D318" s="8"/>
      <c r="E318" s="8" t="n">
        <v>0</v>
      </c>
      <c r="F318" s="8" t="n">
        <v>0</v>
      </c>
      <c r="G318" s="18" t="n">
        <f aca="false">C318*(1+IF(A318&gt;=Inputs!$B$5,Inputs!$B$4,0))*(1+Inputs!$B$2*MAX(E318,F318*Inputs!$B$3))</f>
        <v>402.4</v>
      </c>
      <c r="H318" s="18" t="n">
        <f aca="false">C318*(1+IF(A318&gt;=Inputs!$C$5,Inputs!$C$4,0))*(1+Inputs!$C$2*MAX(E318,F318*Inputs!$C$3))</f>
        <v>402.4</v>
      </c>
      <c r="I318" s="18" t="n">
        <f aca="false">C318*(1+IF(A318&gt;=Inputs!$D$5,Inputs!$D$4,0))*(1+Inputs!$D$2*MAX(E318,F318*Inputs!$D$3))</f>
        <v>362.16</v>
      </c>
    </row>
    <row r="319" customFormat="false" ht="15" hidden="false" customHeight="false" outlineLevel="0" collapsed="false">
      <c r="A319" s="16" t="n">
        <v>45791</v>
      </c>
      <c r="B319" s="8" t="str">
        <f aca="false">TEXT(A319,"yyyy-mm")</f>
        <v>2025-05</v>
      </c>
      <c r="C319" s="17" t="n">
        <v>402.4</v>
      </c>
      <c r="D319" s="8"/>
      <c r="E319" s="8" t="n">
        <v>0</v>
      </c>
      <c r="F319" s="8" t="n">
        <v>0</v>
      </c>
      <c r="G319" s="18" t="n">
        <f aca="false">C319*(1+IF(A319&gt;=Inputs!$B$5,Inputs!$B$4,0))*(1+Inputs!$B$2*MAX(E319,F319*Inputs!$B$3))</f>
        <v>402.4</v>
      </c>
      <c r="H319" s="18" t="n">
        <f aca="false">C319*(1+IF(A319&gt;=Inputs!$C$5,Inputs!$C$4,0))*(1+Inputs!$C$2*MAX(E319,F319*Inputs!$C$3))</f>
        <v>402.4</v>
      </c>
      <c r="I319" s="18" t="n">
        <f aca="false">C319*(1+IF(A319&gt;=Inputs!$D$5,Inputs!$D$4,0))*(1+Inputs!$D$2*MAX(E319,F319*Inputs!$D$3))</f>
        <v>362.16</v>
      </c>
    </row>
    <row r="320" customFormat="false" ht="15" hidden="false" customHeight="false" outlineLevel="0" collapsed="false">
      <c r="A320" s="16" t="n">
        <v>45792</v>
      </c>
      <c r="B320" s="8" t="str">
        <f aca="false">TEXT(A320,"yyyy-mm")</f>
        <v>2025-05</v>
      </c>
      <c r="C320" s="17" t="n">
        <v>402.4</v>
      </c>
      <c r="D320" s="8"/>
      <c r="E320" s="8" t="n">
        <v>0</v>
      </c>
      <c r="F320" s="8" t="n">
        <v>0</v>
      </c>
      <c r="G320" s="18" t="n">
        <f aca="false">C320*(1+IF(A320&gt;=Inputs!$B$5,Inputs!$B$4,0))*(1+Inputs!$B$2*MAX(E320,F320*Inputs!$B$3))</f>
        <v>402.4</v>
      </c>
      <c r="H320" s="18" t="n">
        <f aca="false">C320*(1+IF(A320&gt;=Inputs!$C$5,Inputs!$C$4,0))*(1+Inputs!$C$2*MAX(E320,F320*Inputs!$C$3))</f>
        <v>402.4</v>
      </c>
      <c r="I320" s="18" t="n">
        <f aca="false">C320*(1+IF(A320&gt;=Inputs!$D$5,Inputs!$D$4,0))*(1+Inputs!$D$2*MAX(E320,F320*Inputs!$D$3))</f>
        <v>362.16</v>
      </c>
    </row>
    <row r="321" customFormat="false" ht="15" hidden="false" customHeight="false" outlineLevel="0" collapsed="false">
      <c r="A321" s="16" t="n">
        <v>45793</v>
      </c>
      <c r="B321" s="8" t="str">
        <f aca="false">TEXT(A321,"yyyy-mm")</f>
        <v>2025-05</v>
      </c>
      <c r="C321" s="17" t="n">
        <v>402.4</v>
      </c>
      <c r="D321" s="8"/>
      <c r="E321" s="8" t="n">
        <v>0</v>
      </c>
      <c r="F321" s="8" t="n">
        <v>0</v>
      </c>
      <c r="G321" s="18" t="n">
        <f aca="false">C321*(1+IF(A321&gt;=Inputs!$B$5,Inputs!$B$4,0))*(1+Inputs!$B$2*MAX(E321,F321*Inputs!$B$3))</f>
        <v>402.4</v>
      </c>
      <c r="H321" s="18" t="n">
        <f aca="false">C321*(1+IF(A321&gt;=Inputs!$C$5,Inputs!$C$4,0))*(1+Inputs!$C$2*MAX(E321,F321*Inputs!$C$3))</f>
        <v>402.4</v>
      </c>
      <c r="I321" s="18" t="n">
        <f aca="false">C321*(1+IF(A321&gt;=Inputs!$D$5,Inputs!$D$4,0))*(1+Inputs!$D$2*MAX(E321,F321*Inputs!$D$3))</f>
        <v>362.16</v>
      </c>
    </row>
    <row r="322" customFormat="false" ht="15" hidden="false" customHeight="false" outlineLevel="0" collapsed="false">
      <c r="A322" s="16" t="n">
        <v>45794</v>
      </c>
      <c r="B322" s="8" t="str">
        <f aca="false">TEXT(A322,"yyyy-mm")</f>
        <v>2025-05</v>
      </c>
      <c r="C322" s="17" t="n">
        <v>402.4</v>
      </c>
      <c r="D322" s="8"/>
      <c r="E322" s="8" t="n">
        <v>0</v>
      </c>
      <c r="F322" s="8" t="n">
        <v>0</v>
      </c>
      <c r="G322" s="18" t="n">
        <f aca="false">C322*(1+IF(A322&gt;=Inputs!$B$5,Inputs!$B$4,0))*(1+Inputs!$B$2*MAX(E322,F322*Inputs!$B$3))</f>
        <v>402.4</v>
      </c>
      <c r="H322" s="18" t="n">
        <f aca="false">C322*(1+IF(A322&gt;=Inputs!$C$5,Inputs!$C$4,0))*(1+Inputs!$C$2*MAX(E322,F322*Inputs!$C$3))</f>
        <v>402.4</v>
      </c>
      <c r="I322" s="18" t="n">
        <f aca="false">C322*(1+IF(A322&gt;=Inputs!$D$5,Inputs!$D$4,0))*(1+Inputs!$D$2*MAX(E322,F322*Inputs!$D$3))</f>
        <v>362.16</v>
      </c>
    </row>
    <row r="323" customFormat="false" ht="15" hidden="false" customHeight="false" outlineLevel="0" collapsed="false">
      <c r="A323" s="16" t="n">
        <v>45795</v>
      </c>
      <c r="B323" s="8" t="str">
        <f aca="false">TEXT(A323,"yyyy-mm")</f>
        <v>2025-05</v>
      </c>
      <c r="C323" s="17" t="n">
        <v>402.4</v>
      </c>
      <c r="D323" s="8"/>
      <c r="E323" s="8" t="n">
        <v>0</v>
      </c>
      <c r="F323" s="8" t="n">
        <v>0</v>
      </c>
      <c r="G323" s="18" t="n">
        <f aca="false">C323*(1+IF(A323&gt;=Inputs!$B$5,Inputs!$B$4,0))*(1+Inputs!$B$2*MAX(E323,F323*Inputs!$B$3))</f>
        <v>402.4</v>
      </c>
      <c r="H323" s="18" t="n">
        <f aca="false">C323*(1+IF(A323&gt;=Inputs!$C$5,Inputs!$C$4,0))*(1+Inputs!$C$2*MAX(E323,F323*Inputs!$C$3))</f>
        <v>402.4</v>
      </c>
      <c r="I323" s="18" t="n">
        <f aca="false">C323*(1+IF(A323&gt;=Inputs!$D$5,Inputs!$D$4,0))*(1+Inputs!$D$2*MAX(E323,F323*Inputs!$D$3))</f>
        <v>362.16</v>
      </c>
    </row>
    <row r="324" customFormat="false" ht="15" hidden="false" customHeight="false" outlineLevel="0" collapsed="false">
      <c r="A324" s="16" t="n">
        <v>45796</v>
      </c>
      <c r="B324" s="8" t="str">
        <f aca="false">TEXT(A324,"yyyy-mm")</f>
        <v>2025-05</v>
      </c>
      <c r="C324" s="17" t="n">
        <v>402.4</v>
      </c>
      <c r="D324" s="8"/>
      <c r="E324" s="8" t="n">
        <v>0</v>
      </c>
      <c r="F324" s="8" t="n">
        <v>0</v>
      </c>
      <c r="G324" s="18" t="n">
        <f aca="false">C324*(1+IF(A324&gt;=Inputs!$B$5,Inputs!$B$4,0))*(1+Inputs!$B$2*MAX(E324,F324*Inputs!$B$3))</f>
        <v>402.4</v>
      </c>
      <c r="H324" s="18" t="n">
        <f aca="false">C324*(1+IF(A324&gt;=Inputs!$C$5,Inputs!$C$4,0))*(1+Inputs!$C$2*MAX(E324,F324*Inputs!$C$3))</f>
        <v>402.4</v>
      </c>
      <c r="I324" s="18" t="n">
        <f aca="false">C324*(1+IF(A324&gt;=Inputs!$D$5,Inputs!$D$4,0))*(1+Inputs!$D$2*MAX(E324,F324*Inputs!$D$3))</f>
        <v>362.16</v>
      </c>
    </row>
    <row r="325" customFormat="false" ht="15" hidden="false" customHeight="false" outlineLevel="0" collapsed="false">
      <c r="A325" s="16" t="n">
        <v>45797</v>
      </c>
      <c r="B325" s="8" t="str">
        <f aca="false">TEXT(A325,"yyyy-mm")</f>
        <v>2025-05</v>
      </c>
      <c r="C325" s="17" t="n">
        <v>402.4</v>
      </c>
      <c r="D325" s="8"/>
      <c r="E325" s="8" t="n">
        <v>0</v>
      </c>
      <c r="F325" s="8" t="n">
        <v>0</v>
      </c>
      <c r="G325" s="18" t="n">
        <f aca="false">C325*(1+IF(A325&gt;=Inputs!$B$5,Inputs!$B$4,0))*(1+Inputs!$B$2*MAX(E325,F325*Inputs!$B$3))</f>
        <v>402.4</v>
      </c>
      <c r="H325" s="18" t="n">
        <f aca="false">C325*(1+IF(A325&gt;=Inputs!$C$5,Inputs!$C$4,0))*(1+Inputs!$C$2*MAX(E325,F325*Inputs!$C$3))</f>
        <v>402.4</v>
      </c>
      <c r="I325" s="18" t="n">
        <f aca="false">C325*(1+IF(A325&gt;=Inputs!$D$5,Inputs!$D$4,0))*(1+Inputs!$D$2*MAX(E325,F325*Inputs!$D$3))</f>
        <v>362.16</v>
      </c>
    </row>
    <row r="326" customFormat="false" ht="15" hidden="false" customHeight="false" outlineLevel="0" collapsed="false">
      <c r="A326" s="16" t="n">
        <v>45798</v>
      </c>
      <c r="B326" s="8" t="str">
        <f aca="false">TEXT(A326,"yyyy-mm")</f>
        <v>2025-05</v>
      </c>
      <c r="C326" s="17" t="n">
        <v>402.4</v>
      </c>
      <c r="D326" s="8"/>
      <c r="E326" s="8" t="n">
        <v>0</v>
      </c>
      <c r="F326" s="8" t="n">
        <v>0</v>
      </c>
      <c r="G326" s="18" t="n">
        <f aca="false">C326*(1+IF(A326&gt;=Inputs!$B$5,Inputs!$B$4,0))*(1+Inputs!$B$2*MAX(E326,F326*Inputs!$B$3))</f>
        <v>402.4</v>
      </c>
      <c r="H326" s="18" t="n">
        <f aca="false">C326*(1+IF(A326&gt;=Inputs!$C$5,Inputs!$C$4,0))*(1+Inputs!$C$2*MAX(E326,F326*Inputs!$C$3))</f>
        <v>402.4</v>
      </c>
      <c r="I326" s="18" t="n">
        <f aca="false">C326*(1+IF(A326&gt;=Inputs!$D$5,Inputs!$D$4,0))*(1+Inputs!$D$2*MAX(E326,F326*Inputs!$D$3))</f>
        <v>362.16</v>
      </c>
    </row>
    <row r="327" customFormat="false" ht="15" hidden="false" customHeight="false" outlineLevel="0" collapsed="false">
      <c r="A327" s="16" t="n">
        <v>45799</v>
      </c>
      <c r="B327" s="8" t="str">
        <f aca="false">TEXT(A327,"yyyy-mm")</f>
        <v>2025-05</v>
      </c>
      <c r="C327" s="17" t="n">
        <v>402.4</v>
      </c>
      <c r="D327" s="8"/>
      <c r="E327" s="8" t="n">
        <v>0</v>
      </c>
      <c r="F327" s="8" t="n">
        <v>0</v>
      </c>
      <c r="G327" s="18" t="n">
        <f aca="false">C327*(1+IF(A327&gt;=Inputs!$B$5,Inputs!$B$4,0))*(1+Inputs!$B$2*MAX(E327,F327*Inputs!$B$3))</f>
        <v>402.4</v>
      </c>
      <c r="H327" s="18" t="n">
        <f aca="false">C327*(1+IF(A327&gt;=Inputs!$C$5,Inputs!$C$4,0))*(1+Inputs!$C$2*MAX(E327,F327*Inputs!$C$3))</f>
        <v>402.4</v>
      </c>
      <c r="I327" s="18" t="n">
        <f aca="false">C327*(1+IF(A327&gt;=Inputs!$D$5,Inputs!$D$4,0))*(1+Inputs!$D$2*MAX(E327,F327*Inputs!$D$3))</f>
        <v>362.16</v>
      </c>
    </row>
    <row r="328" customFormat="false" ht="15" hidden="false" customHeight="false" outlineLevel="0" collapsed="false">
      <c r="A328" s="16" t="n">
        <v>45800</v>
      </c>
      <c r="B328" s="8" t="str">
        <f aca="false">TEXT(A328,"yyyy-mm")</f>
        <v>2025-05</v>
      </c>
      <c r="C328" s="17" t="n">
        <v>402.4</v>
      </c>
      <c r="D328" s="8"/>
      <c r="E328" s="8" t="n">
        <v>0</v>
      </c>
      <c r="F328" s="8" t="n">
        <v>0</v>
      </c>
      <c r="G328" s="18" t="n">
        <f aca="false">C328*(1+IF(A328&gt;=Inputs!$B$5,Inputs!$B$4,0))*(1+Inputs!$B$2*MAX(E328,F328*Inputs!$B$3))</f>
        <v>402.4</v>
      </c>
      <c r="H328" s="18" t="n">
        <f aca="false">C328*(1+IF(A328&gt;=Inputs!$C$5,Inputs!$C$4,0))*(1+Inputs!$C$2*MAX(E328,F328*Inputs!$C$3))</f>
        <v>402.4</v>
      </c>
      <c r="I328" s="18" t="n">
        <f aca="false">C328*(1+IF(A328&gt;=Inputs!$D$5,Inputs!$D$4,0))*(1+Inputs!$D$2*MAX(E328,F328*Inputs!$D$3))</f>
        <v>362.16</v>
      </c>
    </row>
    <row r="329" customFormat="false" ht="15" hidden="false" customHeight="false" outlineLevel="0" collapsed="false">
      <c r="A329" s="16" t="n">
        <v>45801</v>
      </c>
      <c r="B329" s="8" t="str">
        <f aca="false">TEXT(A329,"yyyy-mm")</f>
        <v>2025-05</v>
      </c>
      <c r="C329" s="17" t="n">
        <v>402.4</v>
      </c>
      <c r="D329" s="8"/>
      <c r="E329" s="8" t="n">
        <v>0</v>
      </c>
      <c r="F329" s="8" t="n">
        <v>0</v>
      </c>
      <c r="G329" s="18" t="n">
        <f aca="false">C329*(1+IF(A329&gt;=Inputs!$B$5,Inputs!$B$4,0))*(1+Inputs!$B$2*MAX(E329,F329*Inputs!$B$3))</f>
        <v>402.4</v>
      </c>
      <c r="H329" s="18" t="n">
        <f aca="false">C329*(1+IF(A329&gt;=Inputs!$C$5,Inputs!$C$4,0))*(1+Inputs!$C$2*MAX(E329,F329*Inputs!$C$3))</f>
        <v>402.4</v>
      </c>
      <c r="I329" s="18" t="n">
        <f aca="false">C329*(1+IF(A329&gt;=Inputs!$D$5,Inputs!$D$4,0))*(1+Inputs!$D$2*MAX(E329,F329*Inputs!$D$3))</f>
        <v>362.16</v>
      </c>
    </row>
    <row r="330" customFormat="false" ht="15" hidden="false" customHeight="false" outlineLevel="0" collapsed="false">
      <c r="A330" s="16" t="n">
        <v>45802</v>
      </c>
      <c r="B330" s="8" t="str">
        <f aca="false">TEXT(A330,"yyyy-mm")</f>
        <v>2025-05</v>
      </c>
      <c r="C330" s="17" t="n">
        <v>402.4</v>
      </c>
      <c r="D330" s="8"/>
      <c r="E330" s="8" t="n">
        <v>0</v>
      </c>
      <c r="F330" s="8" t="n">
        <v>0</v>
      </c>
      <c r="G330" s="18" t="n">
        <f aca="false">C330*(1+IF(A330&gt;=Inputs!$B$5,Inputs!$B$4,0))*(1+Inputs!$B$2*MAX(E330,F330*Inputs!$B$3))</f>
        <v>402.4</v>
      </c>
      <c r="H330" s="18" t="n">
        <f aca="false">C330*(1+IF(A330&gt;=Inputs!$C$5,Inputs!$C$4,0))*(1+Inputs!$C$2*MAX(E330,F330*Inputs!$C$3))</f>
        <v>402.4</v>
      </c>
      <c r="I330" s="18" t="n">
        <f aca="false">C330*(1+IF(A330&gt;=Inputs!$D$5,Inputs!$D$4,0))*(1+Inputs!$D$2*MAX(E330,F330*Inputs!$D$3))</f>
        <v>362.16</v>
      </c>
    </row>
    <row r="331" customFormat="false" ht="15" hidden="false" customHeight="false" outlineLevel="0" collapsed="false">
      <c r="A331" s="16" t="n">
        <v>45803</v>
      </c>
      <c r="B331" s="8" t="str">
        <f aca="false">TEXT(A331,"yyyy-mm")</f>
        <v>2025-05</v>
      </c>
      <c r="C331" s="17" t="n">
        <v>402.4</v>
      </c>
      <c r="D331" s="8"/>
      <c r="E331" s="8" t="n">
        <v>0</v>
      </c>
      <c r="F331" s="8" t="n">
        <v>0</v>
      </c>
      <c r="G331" s="18" t="n">
        <f aca="false">C331*(1+IF(A331&gt;=Inputs!$B$5,Inputs!$B$4,0))*(1+Inputs!$B$2*MAX(E331,F331*Inputs!$B$3))</f>
        <v>402.4</v>
      </c>
      <c r="H331" s="18" t="n">
        <f aca="false">C331*(1+IF(A331&gt;=Inputs!$C$5,Inputs!$C$4,0))*(1+Inputs!$C$2*MAX(E331,F331*Inputs!$C$3))</f>
        <v>402.4</v>
      </c>
      <c r="I331" s="18" t="n">
        <f aca="false">C331*(1+IF(A331&gt;=Inputs!$D$5,Inputs!$D$4,0))*(1+Inputs!$D$2*MAX(E331,F331*Inputs!$D$3))</f>
        <v>362.16</v>
      </c>
    </row>
    <row r="332" customFormat="false" ht="15" hidden="false" customHeight="false" outlineLevel="0" collapsed="false">
      <c r="A332" s="16" t="n">
        <v>45804</v>
      </c>
      <c r="B332" s="8" t="str">
        <f aca="false">TEXT(A332,"yyyy-mm")</f>
        <v>2025-05</v>
      </c>
      <c r="C332" s="17" t="n">
        <v>402.4</v>
      </c>
      <c r="D332" s="8"/>
      <c r="E332" s="8" t="n">
        <v>0</v>
      </c>
      <c r="F332" s="8" t="n">
        <v>0</v>
      </c>
      <c r="G332" s="18" t="n">
        <f aca="false">C332*(1+IF(A332&gt;=Inputs!$B$5,Inputs!$B$4,0))*(1+Inputs!$B$2*MAX(E332,F332*Inputs!$B$3))</f>
        <v>402.4</v>
      </c>
      <c r="H332" s="18" t="n">
        <f aca="false">C332*(1+IF(A332&gt;=Inputs!$C$5,Inputs!$C$4,0))*(1+Inputs!$C$2*MAX(E332,F332*Inputs!$C$3))</f>
        <v>402.4</v>
      </c>
      <c r="I332" s="18" t="n">
        <f aca="false">C332*(1+IF(A332&gt;=Inputs!$D$5,Inputs!$D$4,0))*(1+Inputs!$D$2*MAX(E332,F332*Inputs!$D$3))</f>
        <v>362.16</v>
      </c>
    </row>
    <row r="333" customFormat="false" ht="15" hidden="false" customHeight="false" outlineLevel="0" collapsed="false">
      <c r="A333" s="16" t="n">
        <v>45805</v>
      </c>
      <c r="B333" s="8" t="str">
        <f aca="false">TEXT(A333,"yyyy-mm")</f>
        <v>2025-05</v>
      </c>
      <c r="C333" s="17" t="n">
        <v>402.4</v>
      </c>
      <c r="D333" s="8"/>
      <c r="E333" s="8" t="n">
        <v>0</v>
      </c>
      <c r="F333" s="8" t="n">
        <v>0</v>
      </c>
      <c r="G333" s="18" t="n">
        <f aca="false">C333*(1+IF(A333&gt;=Inputs!$B$5,Inputs!$B$4,0))*(1+Inputs!$B$2*MAX(E333,F333*Inputs!$B$3))</f>
        <v>402.4</v>
      </c>
      <c r="H333" s="18" t="n">
        <f aca="false">C333*(1+IF(A333&gt;=Inputs!$C$5,Inputs!$C$4,0))*(1+Inputs!$C$2*MAX(E333,F333*Inputs!$C$3))</f>
        <v>402.4</v>
      </c>
      <c r="I333" s="18" t="n">
        <f aca="false">C333*(1+IF(A333&gt;=Inputs!$D$5,Inputs!$D$4,0))*(1+Inputs!$D$2*MAX(E333,F333*Inputs!$D$3))</f>
        <v>362.16</v>
      </c>
    </row>
    <row r="334" customFormat="false" ht="15" hidden="false" customHeight="false" outlineLevel="0" collapsed="false">
      <c r="A334" s="16" t="n">
        <v>45806</v>
      </c>
      <c r="B334" s="8" t="str">
        <f aca="false">TEXT(A334,"yyyy-mm")</f>
        <v>2025-05</v>
      </c>
      <c r="C334" s="17" t="n">
        <v>402.4</v>
      </c>
      <c r="D334" s="8"/>
      <c r="E334" s="8" t="n">
        <v>0</v>
      </c>
      <c r="F334" s="8" t="n">
        <v>0</v>
      </c>
      <c r="G334" s="18" t="n">
        <f aca="false">C334*(1+IF(A334&gt;=Inputs!$B$5,Inputs!$B$4,0))*(1+Inputs!$B$2*MAX(E334,F334*Inputs!$B$3))</f>
        <v>402.4</v>
      </c>
      <c r="H334" s="18" t="n">
        <f aca="false">C334*(1+IF(A334&gt;=Inputs!$C$5,Inputs!$C$4,0))*(1+Inputs!$C$2*MAX(E334,F334*Inputs!$C$3))</f>
        <v>402.4</v>
      </c>
      <c r="I334" s="18" t="n">
        <f aca="false">C334*(1+IF(A334&gt;=Inputs!$D$5,Inputs!$D$4,0))*(1+Inputs!$D$2*MAX(E334,F334*Inputs!$D$3))</f>
        <v>362.16</v>
      </c>
    </row>
    <row r="335" customFormat="false" ht="15" hidden="false" customHeight="false" outlineLevel="0" collapsed="false">
      <c r="A335" s="16" t="n">
        <v>45807</v>
      </c>
      <c r="B335" s="8" t="str">
        <f aca="false">TEXT(A335,"yyyy-mm")</f>
        <v>2025-05</v>
      </c>
      <c r="C335" s="17" t="n">
        <v>402.4</v>
      </c>
      <c r="D335" s="8"/>
      <c r="E335" s="8" t="n">
        <v>0</v>
      </c>
      <c r="F335" s="8" t="n">
        <v>0</v>
      </c>
      <c r="G335" s="18" t="n">
        <f aca="false">C335*(1+IF(A335&gt;=Inputs!$B$5,Inputs!$B$4,0))*(1+Inputs!$B$2*MAX(E335,F335*Inputs!$B$3))</f>
        <v>402.4</v>
      </c>
      <c r="H335" s="18" t="n">
        <f aca="false">C335*(1+IF(A335&gt;=Inputs!$C$5,Inputs!$C$4,0))*(1+Inputs!$C$2*MAX(E335,F335*Inputs!$C$3))</f>
        <v>402.4</v>
      </c>
      <c r="I335" s="18" t="n">
        <f aca="false">C335*(1+IF(A335&gt;=Inputs!$D$5,Inputs!$D$4,0))*(1+Inputs!$D$2*MAX(E335,F335*Inputs!$D$3))</f>
        <v>362.16</v>
      </c>
    </row>
    <row r="336" customFormat="false" ht="15" hidden="false" customHeight="false" outlineLevel="0" collapsed="false">
      <c r="A336" s="16" t="n">
        <v>45808</v>
      </c>
      <c r="B336" s="8" t="str">
        <f aca="false">TEXT(A336,"yyyy-mm")</f>
        <v>2025-05</v>
      </c>
      <c r="C336" s="17" t="n">
        <v>402.4</v>
      </c>
      <c r="D336" s="8"/>
      <c r="E336" s="8" t="n">
        <v>0</v>
      </c>
      <c r="F336" s="8" t="n">
        <v>0</v>
      </c>
      <c r="G336" s="18" t="n">
        <f aca="false">C336*(1+IF(A336&gt;=Inputs!$B$5,Inputs!$B$4,0))*(1+Inputs!$B$2*MAX(E336,F336*Inputs!$B$3))</f>
        <v>402.4</v>
      </c>
      <c r="H336" s="18" t="n">
        <f aca="false">C336*(1+IF(A336&gt;=Inputs!$C$5,Inputs!$C$4,0))*(1+Inputs!$C$2*MAX(E336,F336*Inputs!$C$3))</f>
        <v>402.4</v>
      </c>
      <c r="I336" s="18" t="n">
        <f aca="false">C336*(1+IF(A336&gt;=Inputs!$D$5,Inputs!$D$4,0))*(1+Inputs!$D$2*MAX(E336,F336*Inputs!$D$3))</f>
        <v>362.16</v>
      </c>
    </row>
    <row r="337" customFormat="false" ht="15" hidden="false" customHeight="false" outlineLevel="0" collapsed="false">
      <c r="A337" s="16" t="n">
        <v>45809</v>
      </c>
      <c r="B337" s="8" t="str">
        <f aca="false">TEXT(A337,"yyyy-mm")</f>
        <v>2025-06</v>
      </c>
      <c r="C337" s="17" t="n">
        <v>402.4</v>
      </c>
      <c r="D337" s="8"/>
      <c r="E337" s="8" t="n">
        <v>0</v>
      </c>
      <c r="F337" s="8" t="n">
        <v>0</v>
      </c>
      <c r="G337" s="18" t="n">
        <f aca="false">C337*(1+IF(A337&gt;=Inputs!$B$5,Inputs!$B$4,0))*(1+Inputs!$B$2*MAX(E337,F337*Inputs!$B$3))</f>
        <v>402.4</v>
      </c>
      <c r="H337" s="18" t="n">
        <f aca="false">C337*(1+IF(A337&gt;=Inputs!$C$5,Inputs!$C$4,0))*(1+Inputs!$C$2*MAX(E337,F337*Inputs!$C$3))</f>
        <v>402.4</v>
      </c>
      <c r="I337" s="18" t="n">
        <f aca="false">C337*(1+IF(A337&gt;=Inputs!$D$5,Inputs!$D$4,0))*(1+Inputs!$D$2*MAX(E337,F337*Inputs!$D$3))</f>
        <v>362.16</v>
      </c>
    </row>
    <row r="338" customFormat="false" ht="15" hidden="false" customHeight="false" outlineLevel="0" collapsed="false">
      <c r="A338" s="16" t="n">
        <v>45810</v>
      </c>
      <c r="B338" s="8" t="str">
        <f aca="false">TEXT(A338,"yyyy-mm")</f>
        <v>2025-06</v>
      </c>
      <c r="C338" s="17" t="n">
        <v>402.4</v>
      </c>
      <c r="D338" s="8"/>
      <c r="E338" s="8" t="n">
        <v>0</v>
      </c>
      <c r="F338" s="8" t="n">
        <v>0</v>
      </c>
      <c r="G338" s="18" t="n">
        <f aca="false">C338*(1+IF(A338&gt;=Inputs!$B$5,Inputs!$B$4,0))*(1+Inputs!$B$2*MAX(E338,F338*Inputs!$B$3))</f>
        <v>402.4</v>
      </c>
      <c r="H338" s="18" t="n">
        <f aca="false">C338*(1+IF(A338&gt;=Inputs!$C$5,Inputs!$C$4,0))*(1+Inputs!$C$2*MAX(E338,F338*Inputs!$C$3))</f>
        <v>402.4</v>
      </c>
      <c r="I338" s="18" t="n">
        <f aca="false">C338*(1+IF(A338&gt;=Inputs!$D$5,Inputs!$D$4,0))*(1+Inputs!$D$2*MAX(E338,F338*Inputs!$D$3))</f>
        <v>362.16</v>
      </c>
    </row>
    <row r="339" customFormat="false" ht="15" hidden="false" customHeight="false" outlineLevel="0" collapsed="false">
      <c r="A339" s="16" t="n">
        <v>45811</v>
      </c>
      <c r="B339" s="8" t="str">
        <f aca="false">TEXT(A339,"yyyy-mm")</f>
        <v>2025-06</v>
      </c>
      <c r="C339" s="17" t="n">
        <v>402.4</v>
      </c>
      <c r="D339" s="8"/>
      <c r="E339" s="8" t="n">
        <v>0</v>
      </c>
      <c r="F339" s="8" t="n">
        <v>0</v>
      </c>
      <c r="G339" s="18" t="n">
        <f aca="false">C339*(1+IF(A339&gt;=Inputs!$B$5,Inputs!$B$4,0))*(1+Inputs!$B$2*MAX(E339,F339*Inputs!$B$3))</f>
        <v>402.4</v>
      </c>
      <c r="H339" s="18" t="n">
        <f aca="false">C339*(1+IF(A339&gt;=Inputs!$C$5,Inputs!$C$4,0))*(1+Inputs!$C$2*MAX(E339,F339*Inputs!$C$3))</f>
        <v>402.4</v>
      </c>
      <c r="I339" s="18" t="n">
        <f aca="false">C339*(1+IF(A339&gt;=Inputs!$D$5,Inputs!$D$4,0))*(1+Inputs!$D$2*MAX(E339,F339*Inputs!$D$3))</f>
        <v>362.16</v>
      </c>
    </row>
    <row r="340" customFormat="false" ht="15" hidden="false" customHeight="false" outlineLevel="0" collapsed="false">
      <c r="A340" s="16" t="n">
        <v>45812</v>
      </c>
      <c r="B340" s="8" t="str">
        <f aca="false">TEXT(A340,"yyyy-mm")</f>
        <v>2025-06</v>
      </c>
      <c r="C340" s="17" t="n">
        <v>402.4</v>
      </c>
      <c r="D340" s="8"/>
      <c r="E340" s="8" t="n">
        <v>0</v>
      </c>
      <c r="F340" s="8" t="n">
        <v>0</v>
      </c>
      <c r="G340" s="18" t="n">
        <f aca="false">C340*(1+IF(A340&gt;=Inputs!$B$5,Inputs!$B$4,0))*(1+Inputs!$B$2*MAX(E340,F340*Inputs!$B$3))</f>
        <v>402.4</v>
      </c>
      <c r="H340" s="18" t="n">
        <f aca="false">C340*(1+IF(A340&gt;=Inputs!$C$5,Inputs!$C$4,0))*(1+Inputs!$C$2*MAX(E340,F340*Inputs!$C$3))</f>
        <v>402.4</v>
      </c>
      <c r="I340" s="18" t="n">
        <f aca="false">C340*(1+IF(A340&gt;=Inputs!$D$5,Inputs!$D$4,0))*(1+Inputs!$D$2*MAX(E340,F340*Inputs!$D$3))</f>
        <v>362.16</v>
      </c>
    </row>
    <row r="341" customFormat="false" ht="15" hidden="false" customHeight="false" outlineLevel="0" collapsed="false">
      <c r="A341" s="16" t="n">
        <v>45813</v>
      </c>
      <c r="B341" s="8" t="str">
        <f aca="false">TEXT(A341,"yyyy-mm")</f>
        <v>2025-06</v>
      </c>
      <c r="C341" s="17" t="n">
        <v>402.4</v>
      </c>
      <c r="D341" s="8"/>
      <c r="E341" s="8" t="n">
        <v>0</v>
      </c>
      <c r="F341" s="8" t="n">
        <v>0</v>
      </c>
      <c r="G341" s="18" t="n">
        <f aca="false">C341*(1+IF(A341&gt;=Inputs!$B$5,Inputs!$B$4,0))*(1+Inputs!$B$2*MAX(E341,F341*Inputs!$B$3))</f>
        <v>402.4</v>
      </c>
      <c r="H341" s="18" t="n">
        <f aca="false">C341*(1+IF(A341&gt;=Inputs!$C$5,Inputs!$C$4,0))*(1+Inputs!$C$2*MAX(E341,F341*Inputs!$C$3))</f>
        <v>402.4</v>
      </c>
      <c r="I341" s="18" t="n">
        <f aca="false">C341*(1+IF(A341&gt;=Inputs!$D$5,Inputs!$D$4,0))*(1+Inputs!$D$2*MAX(E341,F341*Inputs!$D$3))</f>
        <v>362.16</v>
      </c>
    </row>
    <row r="342" customFormat="false" ht="15" hidden="false" customHeight="false" outlineLevel="0" collapsed="false">
      <c r="A342" s="16" t="n">
        <v>45814</v>
      </c>
      <c r="B342" s="8" t="str">
        <f aca="false">TEXT(A342,"yyyy-mm")</f>
        <v>2025-06</v>
      </c>
      <c r="C342" s="17" t="n">
        <v>402.4</v>
      </c>
      <c r="D342" s="8"/>
      <c r="E342" s="8" t="n">
        <v>0</v>
      </c>
      <c r="F342" s="8" t="n">
        <v>1</v>
      </c>
      <c r="G342" s="18" t="n">
        <f aca="false">C342*(1+IF(A342&gt;=Inputs!$B$5,Inputs!$B$4,0))*(1+Inputs!$B$2*MAX(E342,F342*Inputs!$B$3))</f>
        <v>402.4</v>
      </c>
      <c r="H342" s="18" t="n">
        <f aca="false">C342*(1+IF(A342&gt;=Inputs!$C$5,Inputs!$C$4,0))*(1+Inputs!$C$2*MAX(E342,F342*Inputs!$C$3))</f>
        <v>603.6</v>
      </c>
      <c r="I342" s="18" t="n">
        <f aca="false">C342*(1+IF(A342&gt;=Inputs!$D$5,Inputs!$D$4,0))*(1+Inputs!$D$2*MAX(E342,F342*Inputs!$D$3))</f>
        <v>362.16</v>
      </c>
    </row>
    <row r="343" customFormat="false" ht="15" hidden="false" customHeight="false" outlineLevel="0" collapsed="false">
      <c r="A343" s="16" t="n">
        <v>45815</v>
      </c>
      <c r="B343" s="8" t="str">
        <f aca="false">TEXT(A343,"yyyy-mm")</f>
        <v>2025-06</v>
      </c>
      <c r="C343" s="17" t="n">
        <v>402.4</v>
      </c>
      <c r="D343" s="8"/>
      <c r="E343" s="8" t="n">
        <v>0</v>
      </c>
      <c r="F343" s="8" t="n">
        <v>1</v>
      </c>
      <c r="G343" s="18" t="n">
        <f aca="false">C343*(1+IF(A343&gt;=Inputs!$B$5,Inputs!$B$4,0))*(1+Inputs!$B$2*MAX(E343,F343*Inputs!$B$3))</f>
        <v>402.4</v>
      </c>
      <c r="H343" s="18" t="n">
        <f aca="false">C343*(1+IF(A343&gt;=Inputs!$C$5,Inputs!$C$4,0))*(1+Inputs!$C$2*MAX(E343,F343*Inputs!$C$3))</f>
        <v>603.6</v>
      </c>
      <c r="I343" s="18" t="n">
        <f aca="false">C343*(1+IF(A343&gt;=Inputs!$D$5,Inputs!$D$4,0))*(1+Inputs!$D$2*MAX(E343,F343*Inputs!$D$3))</f>
        <v>362.16</v>
      </c>
    </row>
    <row r="344" customFormat="false" ht="15" hidden="false" customHeight="false" outlineLevel="0" collapsed="false">
      <c r="A344" s="16" t="n">
        <v>45816</v>
      </c>
      <c r="B344" s="8" t="str">
        <f aca="false">TEXT(A344,"yyyy-mm")</f>
        <v>2025-06</v>
      </c>
      <c r="C344" s="17" t="n">
        <v>402.4</v>
      </c>
      <c r="D344" s="8"/>
      <c r="E344" s="8" t="n">
        <v>0</v>
      </c>
      <c r="F344" s="8" t="n">
        <v>0</v>
      </c>
      <c r="G344" s="18" t="n">
        <f aca="false">C344*(1+IF(A344&gt;=Inputs!$B$5,Inputs!$B$4,0))*(1+Inputs!$B$2*MAX(E344,F344*Inputs!$B$3))</f>
        <v>402.4</v>
      </c>
      <c r="H344" s="18" t="n">
        <f aca="false">C344*(1+IF(A344&gt;=Inputs!$C$5,Inputs!$C$4,0))*(1+Inputs!$C$2*MAX(E344,F344*Inputs!$C$3))</f>
        <v>402.4</v>
      </c>
      <c r="I344" s="18" t="n">
        <f aca="false">C344*(1+IF(A344&gt;=Inputs!$D$5,Inputs!$D$4,0))*(1+Inputs!$D$2*MAX(E344,F344*Inputs!$D$3))</f>
        <v>362.16</v>
      </c>
    </row>
    <row r="345" customFormat="false" ht="15" hidden="false" customHeight="false" outlineLevel="0" collapsed="false">
      <c r="A345" s="16" t="n">
        <v>45817</v>
      </c>
      <c r="B345" s="8" t="str">
        <f aca="false">TEXT(A345,"yyyy-mm")</f>
        <v>2025-06</v>
      </c>
      <c r="C345" s="17" t="n">
        <v>402.4</v>
      </c>
      <c r="D345" s="8"/>
      <c r="E345" s="8" t="n">
        <v>0</v>
      </c>
      <c r="F345" s="8" t="n">
        <v>0</v>
      </c>
      <c r="G345" s="18" t="n">
        <f aca="false">C345*(1+IF(A345&gt;=Inputs!$B$5,Inputs!$B$4,0))*(1+Inputs!$B$2*MAX(E345,F345*Inputs!$B$3))</f>
        <v>402.4</v>
      </c>
      <c r="H345" s="18" t="n">
        <f aca="false">C345*(1+IF(A345&gt;=Inputs!$C$5,Inputs!$C$4,0))*(1+Inputs!$C$2*MAX(E345,F345*Inputs!$C$3))</f>
        <v>402.4</v>
      </c>
      <c r="I345" s="18" t="n">
        <f aca="false">C345*(1+IF(A345&gt;=Inputs!$D$5,Inputs!$D$4,0))*(1+Inputs!$D$2*MAX(E345,F345*Inputs!$D$3))</f>
        <v>362.16</v>
      </c>
    </row>
    <row r="346" customFormat="false" ht="15" hidden="false" customHeight="false" outlineLevel="0" collapsed="false">
      <c r="A346" s="16" t="n">
        <v>45818</v>
      </c>
      <c r="B346" s="8" t="str">
        <f aca="false">TEXT(A346,"yyyy-mm")</f>
        <v>2025-06</v>
      </c>
      <c r="C346" s="17" t="n">
        <v>402.4</v>
      </c>
      <c r="D346" s="8"/>
      <c r="E346" s="8" t="n">
        <v>0</v>
      </c>
      <c r="F346" s="8" t="n">
        <v>0</v>
      </c>
      <c r="G346" s="18" t="n">
        <f aca="false">C346*(1+IF(A346&gt;=Inputs!$B$5,Inputs!$B$4,0))*(1+Inputs!$B$2*MAX(E346,F346*Inputs!$B$3))</f>
        <v>402.4</v>
      </c>
      <c r="H346" s="18" t="n">
        <f aca="false">C346*(1+IF(A346&gt;=Inputs!$C$5,Inputs!$C$4,0))*(1+Inputs!$C$2*MAX(E346,F346*Inputs!$C$3))</f>
        <v>402.4</v>
      </c>
      <c r="I346" s="18" t="n">
        <f aca="false">C346*(1+IF(A346&gt;=Inputs!$D$5,Inputs!$D$4,0))*(1+Inputs!$D$2*MAX(E346,F346*Inputs!$D$3))</f>
        <v>362.16</v>
      </c>
    </row>
    <row r="347" customFormat="false" ht="15" hidden="false" customHeight="false" outlineLevel="0" collapsed="false">
      <c r="A347" s="16" t="n">
        <v>45819</v>
      </c>
      <c r="B347" s="8" t="str">
        <f aca="false">TEXT(A347,"yyyy-mm")</f>
        <v>2025-06</v>
      </c>
      <c r="C347" s="17" t="n">
        <v>402.4</v>
      </c>
      <c r="D347" s="8"/>
      <c r="E347" s="8" t="n">
        <v>0</v>
      </c>
      <c r="F347" s="8" t="n">
        <v>0</v>
      </c>
      <c r="G347" s="18" t="n">
        <f aca="false">C347*(1+IF(A347&gt;=Inputs!$B$5,Inputs!$B$4,0))*(1+Inputs!$B$2*MAX(E347,F347*Inputs!$B$3))</f>
        <v>402.4</v>
      </c>
      <c r="H347" s="18" t="n">
        <f aca="false">C347*(1+IF(A347&gt;=Inputs!$C$5,Inputs!$C$4,0))*(1+Inputs!$C$2*MAX(E347,F347*Inputs!$C$3))</f>
        <v>402.4</v>
      </c>
      <c r="I347" s="18" t="n">
        <f aca="false">C347*(1+IF(A347&gt;=Inputs!$D$5,Inputs!$D$4,0))*(1+Inputs!$D$2*MAX(E347,F347*Inputs!$D$3))</f>
        <v>362.16</v>
      </c>
    </row>
    <row r="348" customFormat="false" ht="15" hidden="false" customHeight="false" outlineLevel="0" collapsed="false">
      <c r="A348" s="16" t="n">
        <v>45820</v>
      </c>
      <c r="B348" s="8" t="str">
        <f aca="false">TEXT(A348,"yyyy-mm")</f>
        <v>2025-06</v>
      </c>
      <c r="C348" s="17" t="n">
        <v>402.4</v>
      </c>
      <c r="D348" s="8"/>
      <c r="E348" s="8" t="n">
        <v>0</v>
      </c>
      <c r="F348" s="8" t="n">
        <v>0</v>
      </c>
      <c r="G348" s="18" t="n">
        <f aca="false">C348*(1+IF(A348&gt;=Inputs!$B$5,Inputs!$B$4,0))*(1+Inputs!$B$2*MAX(E348,F348*Inputs!$B$3))</f>
        <v>402.4</v>
      </c>
      <c r="H348" s="18" t="n">
        <f aca="false">C348*(1+IF(A348&gt;=Inputs!$C$5,Inputs!$C$4,0))*(1+Inputs!$C$2*MAX(E348,F348*Inputs!$C$3))</f>
        <v>402.4</v>
      </c>
      <c r="I348" s="18" t="n">
        <f aca="false">C348*(1+IF(A348&gt;=Inputs!$D$5,Inputs!$D$4,0))*(1+Inputs!$D$2*MAX(E348,F348*Inputs!$D$3))</f>
        <v>362.16</v>
      </c>
    </row>
    <row r="349" customFormat="false" ht="15" hidden="false" customHeight="false" outlineLevel="0" collapsed="false">
      <c r="A349" s="16" t="n">
        <v>45821</v>
      </c>
      <c r="B349" s="8" t="str">
        <f aca="false">TEXT(A349,"yyyy-mm")</f>
        <v>2025-06</v>
      </c>
      <c r="C349" s="17" t="n">
        <v>402.4</v>
      </c>
      <c r="D349" s="8"/>
      <c r="E349" s="8" t="n">
        <v>0</v>
      </c>
      <c r="F349" s="8" t="n">
        <v>0</v>
      </c>
      <c r="G349" s="18" t="n">
        <f aca="false">C349*(1+IF(A349&gt;=Inputs!$B$5,Inputs!$B$4,0))*(1+Inputs!$B$2*MAX(E349,F349*Inputs!$B$3))</f>
        <v>402.4</v>
      </c>
      <c r="H349" s="18" t="n">
        <f aca="false">C349*(1+IF(A349&gt;=Inputs!$C$5,Inputs!$C$4,0))*(1+Inputs!$C$2*MAX(E349,F349*Inputs!$C$3))</f>
        <v>402.4</v>
      </c>
      <c r="I349" s="18" t="n">
        <f aca="false">C349*(1+IF(A349&gt;=Inputs!$D$5,Inputs!$D$4,0))*(1+Inputs!$D$2*MAX(E349,F349*Inputs!$D$3))</f>
        <v>362.16</v>
      </c>
    </row>
    <row r="350" customFormat="false" ht="15" hidden="false" customHeight="false" outlineLevel="0" collapsed="false">
      <c r="A350" s="16" t="n">
        <v>45822</v>
      </c>
      <c r="B350" s="8" t="str">
        <f aca="false">TEXT(A350,"yyyy-mm")</f>
        <v>2025-06</v>
      </c>
      <c r="C350" s="17" t="n">
        <v>402.4</v>
      </c>
      <c r="D350" s="8"/>
      <c r="E350" s="8" t="n">
        <v>0</v>
      </c>
      <c r="F350" s="8" t="n">
        <v>0</v>
      </c>
      <c r="G350" s="18" t="n">
        <f aca="false">C350*(1+IF(A350&gt;=Inputs!$B$5,Inputs!$B$4,0))*(1+Inputs!$B$2*MAX(E350,F350*Inputs!$B$3))</f>
        <v>402.4</v>
      </c>
      <c r="H350" s="18" t="n">
        <f aca="false">C350*(1+IF(A350&gt;=Inputs!$C$5,Inputs!$C$4,0))*(1+Inputs!$C$2*MAX(E350,F350*Inputs!$C$3))</f>
        <v>402.4</v>
      </c>
      <c r="I350" s="18" t="n">
        <f aca="false">C350*(1+IF(A350&gt;=Inputs!$D$5,Inputs!$D$4,0))*(1+Inputs!$D$2*MAX(E350,F350*Inputs!$D$3))</f>
        <v>362.16</v>
      </c>
    </row>
    <row r="351" customFormat="false" ht="15" hidden="false" customHeight="false" outlineLevel="0" collapsed="false">
      <c r="A351" s="16" t="n">
        <v>45823</v>
      </c>
      <c r="B351" s="8" t="str">
        <f aca="false">TEXT(A351,"yyyy-mm")</f>
        <v>2025-06</v>
      </c>
      <c r="C351" s="17" t="n">
        <v>402.4</v>
      </c>
      <c r="D351" s="8"/>
      <c r="E351" s="8" t="n">
        <v>0</v>
      </c>
      <c r="F351" s="8" t="n">
        <v>0</v>
      </c>
      <c r="G351" s="18" t="n">
        <f aca="false">C351*(1+IF(A351&gt;=Inputs!$B$5,Inputs!$B$4,0))*(1+Inputs!$B$2*MAX(E351,F351*Inputs!$B$3))</f>
        <v>402.4</v>
      </c>
      <c r="H351" s="18" t="n">
        <f aca="false">C351*(1+IF(A351&gt;=Inputs!$C$5,Inputs!$C$4,0))*(1+Inputs!$C$2*MAX(E351,F351*Inputs!$C$3))</f>
        <v>402.4</v>
      </c>
      <c r="I351" s="18" t="n">
        <f aca="false">C351*(1+IF(A351&gt;=Inputs!$D$5,Inputs!$D$4,0))*(1+Inputs!$D$2*MAX(E351,F351*Inputs!$D$3))</f>
        <v>362.16</v>
      </c>
    </row>
    <row r="352" customFormat="false" ht="15" hidden="false" customHeight="false" outlineLevel="0" collapsed="false">
      <c r="A352" s="16" t="n">
        <v>45824</v>
      </c>
      <c r="B352" s="8" t="str">
        <f aca="false">TEXT(A352,"yyyy-mm")</f>
        <v>2025-06</v>
      </c>
      <c r="C352" s="17" t="n">
        <v>402.4</v>
      </c>
      <c r="D352" s="8"/>
      <c r="E352" s="8" t="n">
        <v>0</v>
      </c>
      <c r="F352" s="8" t="n">
        <v>0</v>
      </c>
      <c r="G352" s="18" t="n">
        <f aca="false">C352*(1+IF(A352&gt;=Inputs!$B$5,Inputs!$B$4,0))*(1+Inputs!$B$2*MAX(E352,F352*Inputs!$B$3))</f>
        <v>402.4</v>
      </c>
      <c r="H352" s="18" t="n">
        <f aca="false">C352*(1+IF(A352&gt;=Inputs!$C$5,Inputs!$C$4,0))*(1+Inputs!$C$2*MAX(E352,F352*Inputs!$C$3))</f>
        <v>402.4</v>
      </c>
      <c r="I352" s="18" t="n">
        <f aca="false">C352*(1+IF(A352&gt;=Inputs!$D$5,Inputs!$D$4,0))*(1+Inputs!$D$2*MAX(E352,F352*Inputs!$D$3))</f>
        <v>362.16</v>
      </c>
    </row>
    <row r="353" customFormat="false" ht="15" hidden="false" customHeight="false" outlineLevel="0" collapsed="false">
      <c r="A353" s="16" t="n">
        <v>45825</v>
      </c>
      <c r="B353" s="8" t="str">
        <f aca="false">TEXT(A353,"yyyy-mm")</f>
        <v>2025-06</v>
      </c>
      <c r="C353" s="17" t="n">
        <v>402.4</v>
      </c>
      <c r="D353" s="8"/>
      <c r="E353" s="8" t="n">
        <v>0</v>
      </c>
      <c r="F353" s="8" t="n">
        <v>0</v>
      </c>
      <c r="G353" s="18" t="n">
        <f aca="false">C353*(1+IF(A353&gt;=Inputs!$B$5,Inputs!$B$4,0))*(1+Inputs!$B$2*MAX(E353,F353*Inputs!$B$3))</f>
        <v>402.4</v>
      </c>
      <c r="H353" s="18" t="n">
        <f aca="false">C353*(1+IF(A353&gt;=Inputs!$C$5,Inputs!$C$4,0))*(1+Inputs!$C$2*MAX(E353,F353*Inputs!$C$3))</f>
        <v>402.4</v>
      </c>
      <c r="I353" s="18" t="n">
        <f aca="false">C353*(1+IF(A353&gt;=Inputs!$D$5,Inputs!$D$4,0))*(1+Inputs!$D$2*MAX(E353,F353*Inputs!$D$3))</f>
        <v>362.16</v>
      </c>
    </row>
    <row r="354" customFormat="false" ht="15" hidden="false" customHeight="false" outlineLevel="0" collapsed="false">
      <c r="A354" s="16" t="n">
        <v>45826</v>
      </c>
      <c r="B354" s="8" t="str">
        <f aca="false">TEXT(A354,"yyyy-mm")</f>
        <v>2025-06</v>
      </c>
      <c r="C354" s="17" t="n">
        <v>402.4</v>
      </c>
      <c r="D354" s="8"/>
      <c r="E354" s="8" t="n">
        <v>0</v>
      </c>
      <c r="F354" s="8" t="n">
        <v>0</v>
      </c>
      <c r="G354" s="18" t="n">
        <f aca="false">C354*(1+IF(A354&gt;=Inputs!$B$5,Inputs!$B$4,0))*(1+Inputs!$B$2*MAX(E354,F354*Inputs!$B$3))</f>
        <v>402.4</v>
      </c>
      <c r="H354" s="18" t="n">
        <f aca="false">C354*(1+IF(A354&gt;=Inputs!$C$5,Inputs!$C$4,0))*(1+Inputs!$C$2*MAX(E354,F354*Inputs!$C$3))</f>
        <v>402.4</v>
      </c>
      <c r="I354" s="18" t="n">
        <f aca="false">C354*(1+IF(A354&gt;=Inputs!$D$5,Inputs!$D$4,0))*(1+Inputs!$D$2*MAX(E354,F354*Inputs!$D$3))</f>
        <v>362.16</v>
      </c>
    </row>
    <row r="355" customFormat="false" ht="15" hidden="false" customHeight="false" outlineLevel="0" collapsed="false">
      <c r="A355" s="16" t="n">
        <v>45827</v>
      </c>
      <c r="B355" s="8" t="str">
        <f aca="false">TEXT(A355,"yyyy-mm")</f>
        <v>2025-06</v>
      </c>
      <c r="C355" s="17" t="n">
        <v>402.4</v>
      </c>
      <c r="D355" s="8"/>
      <c r="E355" s="8" t="n">
        <v>0</v>
      </c>
      <c r="F355" s="8" t="n">
        <v>0</v>
      </c>
      <c r="G355" s="18" t="n">
        <f aca="false">C355*(1+IF(A355&gt;=Inputs!$B$5,Inputs!$B$4,0))*(1+Inputs!$B$2*MAX(E355,F355*Inputs!$B$3))</f>
        <v>402.4</v>
      </c>
      <c r="H355" s="18" t="n">
        <f aca="false">C355*(1+IF(A355&gt;=Inputs!$C$5,Inputs!$C$4,0))*(1+Inputs!$C$2*MAX(E355,F355*Inputs!$C$3))</f>
        <v>402.4</v>
      </c>
      <c r="I355" s="18" t="n">
        <f aca="false">C355*(1+IF(A355&gt;=Inputs!$D$5,Inputs!$D$4,0))*(1+Inputs!$D$2*MAX(E355,F355*Inputs!$D$3))</f>
        <v>362.16</v>
      </c>
    </row>
    <row r="356" customFormat="false" ht="15" hidden="false" customHeight="false" outlineLevel="0" collapsed="false">
      <c r="A356" s="16" t="n">
        <v>45828</v>
      </c>
      <c r="B356" s="8" t="str">
        <f aca="false">TEXT(A356,"yyyy-mm")</f>
        <v>2025-06</v>
      </c>
      <c r="C356" s="17" t="n">
        <v>402.4</v>
      </c>
      <c r="D356" s="8"/>
      <c r="E356" s="8" t="n">
        <v>0</v>
      </c>
      <c r="F356" s="8" t="n">
        <v>0</v>
      </c>
      <c r="G356" s="18" t="n">
        <f aca="false">C356*(1+IF(A356&gt;=Inputs!$B$5,Inputs!$B$4,0))*(1+Inputs!$B$2*MAX(E356,F356*Inputs!$B$3))</f>
        <v>402.4</v>
      </c>
      <c r="H356" s="18" t="n">
        <f aca="false">C356*(1+IF(A356&gt;=Inputs!$C$5,Inputs!$C$4,0))*(1+Inputs!$C$2*MAX(E356,F356*Inputs!$C$3))</f>
        <v>402.4</v>
      </c>
      <c r="I356" s="18" t="n">
        <f aca="false">C356*(1+IF(A356&gt;=Inputs!$D$5,Inputs!$D$4,0))*(1+Inputs!$D$2*MAX(E356,F356*Inputs!$D$3))</f>
        <v>362.16</v>
      </c>
    </row>
    <row r="357" customFormat="false" ht="15" hidden="false" customHeight="false" outlineLevel="0" collapsed="false">
      <c r="A357" s="16" t="n">
        <v>45829</v>
      </c>
      <c r="B357" s="8" t="str">
        <f aca="false">TEXT(A357,"yyyy-mm")</f>
        <v>2025-06</v>
      </c>
      <c r="C357" s="17" t="n">
        <v>402.4</v>
      </c>
      <c r="D357" s="8"/>
      <c r="E357" s="8" t="n">
        <v>0</v>
      </c>
      <c r="F357" s="8" t="n">
        <v>0</v>
      </c>
      <c r="G357" s="18" t="n">
        <f aca="false">C357*(1+IF(A357&gt;=Inputs!$B$5,Inputs!$B$4,0))*(1+Inputs!$B$2*MAX(E357,F357*Inputs!$B$3))</f>
        <v>402.4</v>
      </c>
      <c r="H357" s="18" t="n">
        <f aca="false">C357*(1+IF(A357&gt;=Inputs!$C$5,Inputs!$C$4,0))*(1+Inputs!$C$2*MAX(E357,F357*Inputs!$C$3))</f>
        <v>402.4</v>
      </c>
      <c r="I357" s="18" t="n">
        <f aca="false">C357*(1+IF(A357&gt;=Inputs!$D$5,Inputs!$D$4,0))*(1+Inputs!$D$2*MAX(E357,F357*Inputs!$D$3))</f>
        <v>362.16</v>
      </c>
    </row>
    <row r="358" customFormat="false" ht="15" hidden="false" customHeight="false" outlineLevel="0" collapsed="false">
      <c r="A358" s="16" t="n">
        <v>45830</v>
      </c>
      <c r="B358" s="8" t="str">
        <f aca="false">TEXT(A358,"yyyy-mm")</f>
        <v>2025-06</v>
      </c>
      <c r="C358" s="17" t="n">
        <v>402.4</v>
      </c>
      <c r="D358" s="8"/>
      <c r="E358" s="8" t="n">
        <v>0</v>
      </c>
      <c r="F358" s="8" t="n">
        <v>0</v>
      </c>
      <c r="G358" s="18" t="n">
        <f aca="false">C358*(1+IF(A358&gt;=Inputs!$B$5,Inputs!$B$4,0))*(1+Inputs!$B$2*MAX(E358,F358*Inputs!$B$3))</f>
        <v>402.4</v>
      </c>
      <c r="H358" s="18" t="n">
        <f aca="false">C358*(1+IF(A358&gt;=Inputs!$C$5,Inputs!$C$4,0))*(1+Inputs!$C$2*MAX(E358,F358*Inputs!$C$3))</f>
        <v>402.4</v>
      </c>
      <c r="I358" s="18" t="n">
        <f aca="false">C358*(1+IF(A358&gt;=Inputs!$D$5,Inputs!$D$4,0))*(1+Inputs!$D$2*MAX(E358,F358*Inputs!$D$3))</f>
        <v>362.16</v>
      </c>
    </row>
    <row r="359" customFormat="false" ht="15" hidden="false" customHeight="false" outlineLevel="0" collapsed="false">
      <c r="A359" s="16" t="n">
        <v>45831</v>
      </c>
      <c r="B359" s="8" t="str">
        <f aca="false">TEXT(A359,"yyyy-mm")</f>
        <v>2025-06</v>
      </c>
      <c r="C359" s="17" t="n">
        <v>402.4</v>
      </c>
      <c r="D359" s="8"/>
      <c r="E359" s="8" t="n">
        <v>0</v>
      </c>
      <c r="F359" s="8" t="n">
        <v>0</v>
      </c>
      <c r="G359" s="18" t="n">
        <f aca="false">C359*(1+IF(A359&gt;=Inputs!$B$5,Inputs!$B$4,0))*(1+Inputs!$B$2*MAX(E359,F359*Inputs!$B$3))</f>
        <v>402.4</v>
      </c>
      <c r="H359" s="18" t="n">
        <f aca="false">C359*(1+IF(A359&gt;=Inputs!$C$5,Inputs!$C$4,0))*(1+Inputs!$C$2*MAX(E359,F359*Inputs!$C$3))</f>
        <v>402.4</v>
      </c>
      <c r="I359" s="18" t="n">
        <f aca="false">C359*(1+IF(A359&gt;=Inputs!$D$5,Inputs!$D$4,0))*(1+Inputs!$D$2*MAX(E359,F359*Inputs!$D$3))</f>
        <v>362.16</v>
      </c>
    </row>
    <row r="360" customFormat="false" ht="15" hidden="false" customHeight="false" outlineLevel="0" collapsed="false">
      <c r="A360" s="16" t="n">
        <v>45832</v>
      </c>
      <c r="B360" s="8" t="str">
        <f aca="false">TEXT(A360,"yyyy-mm")</f>
        <v>2025-06</v>
      </c>
      <c r="C360" s="17" t="n">
        <v>402.4</v>
      </c>
      <c r="D360" s="8" t="s">
        <v>62</v>
      </c>
      <c r="E360" s="8" t="n">
        <v>1</v>
      </c>
      <c r="F360" s="8" t="n">
        <v>0</v>
      </c>
      <c r="G360" s="18" t="n">
        <f aca="false">C360*(1+IF(A360&gt;=Inputs!$B$5,Inputs!$B$4,0))*(1+Inputs!$B$2*MAX(E360,F360*Inputs!$B$3))</f>
        <v>503</v>
      </c>
      <c r="H360" s="18" t="n">
        <f aca="false">C360*(1+IF(A360&gt;=Inputs!$C$5,Inputs!$C$4,0))*(1+Inputs!$C$2*MAX(E360,F360*Inputs!$C$3))</f>
        <v>603.6</v>
      </c>
      <c r="I360" s="18" t="n">
        <f aca="false">C360*(1+IF(A360&gt;=Inputs!$D$5,Inputs!$D$4,0))*(1+Inputs!$D$2*MAX(E360,F360*Inputs!$D$3))</f>
        <v>452.7</v>
      </c>
    </row>
    <row r="361" customFormat="false" ht="15" hidden="false" customHeight="false" outlineLevel="0" collapsed="false">
      <c r="A361" s="16" t="n">
        <v>45833</v>
      </c>
      <c r="B361" s="8" t="str">
        <f aca="false">TEXT(A361,"yyyy-mm")</f>
        <v>2025-06</v>
      </c>
      <c r="C361" s="17" t="n">
        <v>402.4</v>
      </c>
      <c r="D361" s="8" t="s">
        <v>62</v>
      </c>
      <c r="E361" s="8" t="n">
        <v>1</v>
      </c>
      <c r="F361" s="8" t="n">
        <v>0</v>
      </c>
      <c r="G361" s="18" t="n">
        <f aca="false">C361*(1+IF(A361&gt;=Inputs!$B$5,Inputs!$B$4,0))*(1+Inputs!$B$2*MAX(E361,F361*Inputs!$B$3))</f>
        <v>503</v>
      </c>
      <c r="H361" s="18" t="n">
        <f aca="false">C361*(1+IF(A361&gt;=Inputs!$C$5,Inputs!$C$4,0))*(1+Inputs!$C$2*MAX(E361,F361*Inputs!$C$3))</f>
        <v>603.6</v>
      </c>
      <c r="I361" s="18" t="n">
        <f aca="false">C361*(1+IF(A361&gt;=Inputs!$D$5,Inputs!$D$4,0))*(1+Inputs!$D$2*MAX(E361,F361*Inputs!$D$3))</f>
        <v>452.7</v>
      </c>
    </row>
    <row r="362" customFormat="false" ht="15" hidden="false" customHeight="false" outlineLevel="0" collapsed="false">
      <c r="A362" s="16" t="n">
        <v>45834</v>
      </c>
      <c r="B362" s="8" t="str">
        <f aca="false">TEXT(A362,"yyyy-mm")</f>
        <v>2025-06</v>
      </c>
      <c r="C362" s="17" t="n">
        <v>402.4</v>
      </c>
      <c r="D362" s="8" t="s">
        <v>62</v>
      </c>
      <c r="E362" s="8" t="n">
        <v>1</v>
      </c>
      <c r="F362" s="8" t="n">
        <v>0</v>
      </c>
      <c r="G362" s="18" t="n">
        <f aca="false">C362*(1+IF(A362&gt;=Inputs!$B$5,Inputs!$B$4,0))*(1+Inputs!$B$2*MAX(E362,F362*Inputs!$B$3))</f>
        <v>503</v>
      </c>
      <c r="H362" s="18" t="n">
        <f aca="false">C362*(1+IF(A362&gt;=Inputs!$C$5,Inputs!$C$4,0))*(1+Inputs!$C$2*MAX(E362,F362*Inputs!$C$3))</f>
        <v>603.6</v>
      </c>
      <c r="I362" s="18" t="n">
        <f aca="false">C362*(1+IF(A362&gt;=Inputs!$D$5,Inputs!$D$4,0))*(1+Inputs!$D$2*MAX(E362,F362*Inputs!$D$3))</f>
        <v>452.7</v>
      </c>
    </row>
    <row r="363" customFormat="false" ht="15" hidden="false" customHeight="false" outlineLevel="0" collapsed="false">
      <c r="A363" s="16" t="n">
        <v>45835</v>
      </c>
      <c r="B363" s="8" t="str">
        <f aca="false">TEXT(A363,"yyyy-mm")</f>
        <v>2025-06</v>
      </c>
      <c r="C363" s="17" t="n">
        <v>402.4</v>
      </c>
      <c r="D363" s="8" t="s">
        <v>62</v>
      </c>
      <c r="E363" s="8" t="n">
        <v>1</v>
      </c>
      <c r="F363" s="8" t="n">
        <v>0</v>
      </c>
      <c r="G363" s="18" t="n">
        <f aca="false">C363*(1+IF(A363&gt;=Inputs!$B$5,Inputs!$B$4,0))*(1+Inputs!$B$2*MAX(E363,F363*Inputs!$B$3))</f>
        <v>503</v>
      </c>
      <c r="H363" s="18" t="n">
        <f aca="false">C363*(1+IF(A363&gt;=Inputs!$C$5,Inputs!$C$4,0))*(1+Inputs!$C$2*MAX(E363,F363*Inputs!$C$3))</f>
        <v>603.6</v>
      </c>
      <c r="I363" s="18" t="n">
        <f aca="false">C363*(1+IF(A363&gt;=Inputs!$D$5,Inputs!$D$4,0))*(1+Inputs!$D$2*MAX(E363,F363*Inputs!$D$3))</f>
        <v>452.7</v>
      </c>
    </row>
    <row r="364" customFormat="false" ht="15" hidden="false" customHeight="false" outlineLevel="0" collapsed="false">
      <c r="A364" s="16" t="n">
        <v>45836</v>
      </c>
      <c r="B364" s="8" t="str">
        <f aca="false">TEXT(A364,"yyyy-mm")</f>
        <v>2025-06</v>
      </c>
      <c r="C364" s="17" t="n">
        <v>402.4</v>
      </c>
      <c r="D364" s="8" t="s">
        <v>62</v>
      </c>
      <c r="E364" s="8" t="n">
        <v>1</v>
      </c>
      <c r="F364" s="8" t="n">
        <v>0</v>
      </c>
      <c r="G364" s="18" t="n">
        <f aca="false">C364*(1+IF(A364&gt;=Inputs!$B$5,Inputs!$B$4,0))*(1+Inputs!$B$2*MAX(E364,F364*Inputs!$B$3))</f>
        <v>503</v>
      </c>
      <c r="H364" s="18" t="n">
        <f aca="false">C364*(1+IF(A364&gt;=Inputs!$C$5,Inputs!$C$4,0))*(1+Inputs!$C$2*MAX(E364,F364*Inputs!$C$3))</f>
        <v>603.6</v>
      </c>
      <c r="I364" s="18" t="n">
        <f aca="false">C364*(1+IF(A364&gt;=Inputs!$D$5,Inputs!$D$4,0))*(1+Inputs!$D$2*MAX(E364,F364*Inputs!$D$3))</f>
        <v>452.7</v>
      </c>
    </row>
    <row r="365" customFormat="false" ht="15" hidden="false" customHeight="false" outlineLevel="0" collapsed="false">
      <c r="A365" s="16" t="n">
        <v>45837</v>
      </c>
      <c r="B365" s="8" t="str">
        <f aca="false">TEXT(A365,"yyyy-mm")</f>
        <v>2025-06</v>
      </c>
      <c r="C365" s="17" t="n">
        <v>402.4</v>
      </c>
      <c r="D365" s="8" t="s">
        <v>62</v>
      </c>
      <c r="E365" s="8" t="n">
        <v>1</v>
      </c>
      <c r="F365" s="8" t="n">
        <v>0</v>
      </c>
      <c r="G365" s="18" t="n">
        <f aca="false">C365*(1+IF(A365&gt;=Inputs!$B$5,Inputs!$B$4,0))*(1+Inputs!$B$2*MAX(E365,F365*Inputs!$B$3))</f>
        <v>503</v>
      </c>
      <c r="H365" s="18" t="n">
        <f aca="false">C365*(1+IF(A365&gt;=Inputs!$C$5,Inputs!$C$4,0))*(1+Inputs!$C$2*MAX(E365,F365*Inputs!$C$3))</f>
        <v>603.6</v>
      </c>
      <c r="I365" s="18" t="n">
        <f aca="false">C365*(1+IF(A365&gt;=Inputs!$D$5,Inputs!$D$4,0))*(1+Inputs!$D$2*MAX(E365,F365*Inputs!$D$3))</f>
        <v>452.7</v>
      </c>
    </row>
    <row r="366" customFormat="false" ht="15" hidden="false" customHeight="false" outlineLevel="0" collapsed="false">
      <c r="A366" s="16" t="n">
        <v>45838</v>
      </c>
      <c r="B366" s="8" t="str">
        <f aca="false">TEXT(A366,"yyyy-mm")</f>
        <v>2025-06</v>
      </c>
      <c r="C366" s="17" t="n">
        <v>402.4</v>
      </c>
      <c r="D366" s="8" t="s">
        <v>62</v>
      </c>
      <c r="E366" s="8" t="n">
        <v>1</v>
      </c>
      <c r="F366" s="8" t="n">
        <v>0</v>
      </c>
      <c r="G366" s="18" t="n">
        <f aca="false">C366*(1+IF(A366&gt;=Inputs!$B$5,Inputs!$B$4,0))*(1+Inputs!$B$2*MAX(E366,F366*Inputs!$B$3))</f>
        <v>503</v>
      </c>
      <c r="H366" s="18" t="n">
        <f aca="false">C366*(1+IF(A366&gt;=Inputs!$C$5,Inputs!$C$4,0))*(1+Inputs!$C$2*MAX(E366,F366*Inputs!$C$3))</f>
        <v>603.6</v>
      </c>
      <c r="I366" s="18" t="n">
        <f aca="false">C366*(1+IF(A366&gt;=Inputs!$D$5,Inputs!$D$4,0))*(1+Inputs!$D$2*MAX(E366,F366*Inputs!$D$3))</f>
        <v>452.7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2026-09-30T05:19:36Z</dcterms:created>
  <dc:creator>openpyxl</dc:creator>
  <dc:description/>
  <dc:language>en-US</dc:language>
  <cp:lastModifiedBy/>
  <dcterms:modified xsi:type="dcterms:W3CDTF">2026-09-30T05:19:36Z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